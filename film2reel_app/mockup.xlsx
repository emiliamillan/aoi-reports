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lane\Downloads\"/>
    </mc:Choice>
  </mc:AlternateContent>
  <xr:revisionPtr revIDLastSave="0" documentId="13_ncr:1_{38E441DA-74C8-46FD-862C-7F89563F3E64}" xr6:coauthVersionLast="47" xr6:coauthVersionMax="47" xr10:uidLastSave="{00000000-0000-0000-0000-000000000000}"/>
  <bookViews>
    <workbookView xWindow="-120" yWindow="-120" windowWidth="20730" windowHeight="11040" xr2:uid="{949DB519-5F87-4460-A223-FD6BFA162CA3}"/>
  </bookViews>
  <sheets>
    <sheet name="csv report" sheetId="1" r:id="rId1"/>
    <sheet name="Sheet2" sheetId="2" r:id="rId2"/>
    <sheet name="Sheet4" sheetId="4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4" l="1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1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9" i="3"/>
  <c r="B8" i="3"/>
  <c r="B7" i="3"/>
  <c r="F3" i="2"/>
  <c r="F29" i="1"/>
  <c r="E3" i="2"/>
  <c r="D3" i="2"/>
</calcChain>
</file>

<file path=xl/sharedStrings.xml><?xml version="1.0" encoding="utf-8"?>
<sst xmlns="http://schemas.openxmlformats.org/spreadsheetml/2006/main" count="483" uniqueCount="126">
  <si>
    <t>Mi28PRO MX25SWS031</t>
  </si>
  <si>
    <t xml:space="preserve">Report For Lot - 5264788.1 - </t>
  </si>
  <si>
    <t>From : 9/4/2025 5:10:13 PM To : 9/4/2025 7:40:43 PM</t>
  </si>
  <si>
    <t>Alarm Type Selection</t>
  </si>
  <si>
    <t>Failure/ Assist</t>
  </si>
  <si>
    <t>Total Operating Time</t>
  </si>
  <si>
    <t>Total Idle Time</t>
  </si>
  <si>
    <t>Total Setup Time</t>
  </si>
  <si>
    <t>Total Alarm</t>
  </si>
  <si>
    <t>Total Unplanned Downtime</t>
  </si>
  <si>
    <t>Total Planned Downtime</t>
  </si>
  <si>
    <t>MTBA</t>
  </si>
  <si>
    <t>MTTA</t>
  </si>
  <si>
    <t>MTBF</t>
  </si>
  <si>
    <t>MTTR</t>
  </si>
  <si>
    <t>MUBA</t>
  </si>
  <si>
    <t>Total Up Time</t>
  </si>
  <si>
    <t>Total Down Time</t>
  </si>
  <si>
    <t>Lot Summary</t>
  </si>
  <si>
    <t>Quantity</t>
  </si>
  <si>
    <t>Overall Yield</t>
  </si>
  <si>
    <t>Previous Lot Dice</t>
  </si>
  <si>
    <t>Input Wafer Total</t>
  </si>
  <si>
    <t>Rejected Dice</t>
  </si>
  <si>
    <t>Tape &amp; Reel B Total</t>
  </si>
  <si>
    <t>Reject Tray Total</t>
  </si>
  <si>
    <t>Input Wafer Vision Yield</t>
  </si>
  <si>
    <t>Yield (%)</t>
  </si>
  <si>
    <t>Overall Yield (%)</t>
  </si>
  <si>
    <t>Passed</t>
  </si>
  <si>
    <t>Empty Failed</t>
  </si>
  <si>
    <t>Others Failed</t>
  </si>
  <si>
    <t>Angle Failed</t>
  </si>
  <si>
    <t>Pitch Failed</t>
  </si>
  <si>
    <t>Chip Failed</t>
  </si>
  <si>
    <t>Contamination Failed</t>
  </si>
  <si>
    <t>Crack Failed</t>
  </si>
  <si>
    <t>Bump Failed</t>
  </si>
  <si>
    <t>Pad Failed</t>
  </si>
  <si>
    <t>Probe Mark Failed</t>
  </si>
  <si>
    <t>TOTAL</t>
  </si>
  <si>
    <t>Die Position 1 Vision Yield</t>
  </si>
  <si>
    <t>Die Position 2 Vision Yield</t>
  </si>
  <si>
    <t>Die Position 3 Vision Yield</t>
  </si>
  <si>
    <t>Die Position 4 Vision Yield</t>
  </si>
  <si>
    <t>Die Position 5 Vision Yield</t>
  </si>
  <si>
    <t>Bump Vision Yield</t>
  </si>
  <si>
    <t>Die Sawn Failed</t>
  </si>
  <si>
    <t>Chip In Failed</t>
  </si>
  <si>
    <t>Chip Out Failed</t>
  </si>
  <si>
    <t>Die Size Failed</t>
  </si>
  <si>
    <t>SubROI Failed</t>
  </si>
  <si>
    <t>Spec Failed</t>
  </si>
  <si>
    <t>5S Sidewall Vision Yield</t>
  </si>
  <si>
    <t>Pocket Position B Vision Yield</t>
  </si>
  <si>
    <t>In Pocket B Vision Yield</t>
  </si>
  <si>
    <t>Adhesive Failed</t>
  </si>
  <si>
    <t>Edge Failed</t>
  </si>
  <si>
    <t>Marking Failed</t>
  </si>
  <si>
    <t>Orientation Failed</t>
  </si>
  <si>
    <t>No Mark Failed</t>
  </si>
  <si>
    <t>2D Code Failed</t>
  </si>
  <si>
    <t>Copper Exposed Failed</t>
  </si>
  <si>
    <t>Post Seal B Vision Yield</t>
  </si>
  <si>
    <t>Top Layer Seal Broken</t>
  </si>
  <si>
    <t>Bottom Layer Seal Broken</t>
  </si>
  <si>
    <t>Both Layer Seal Broken</t>
  </si>
  <si>
    <t>Top Layer Seal Limit Exceeded</t>
  </si>
  <si>
    <t>Bottom Layer Seal Limit Exceeded</t>
  </si>
  <si>
    <t>Both Layer Seal Limit Exceeded</t>
  </si>
  <si>
    <t>Top Layer Seal Width Inconsistency</t>
  </si>
  <si>
    <t>Bottom Layer Seal Width Inconsistency</t>
  </si>
  <si>
    <t>Both Layer Seal Width Inconsistency</t>
  </si>
  <si>
    <t>Relative Seal Width Inconsistency</t>
  </si>
  <si>
    <t>TopVision Vision Yield</t>
  </si>
  <si>
    <t>Discolouration Failed</t>
  </si>
  <si>
    <t>3D Vision Yield</t>
  </si>
  <si>
    <t>Bump Height Failed</t>
  </si>
  <si>
    <t>Warpage Failed</t>
  </si>
  <si>
    <t>Slanted Failed</t>
  </si>
  <si>
    <t>Infrared Ray Vision Yield</t>
  </si>
  <si>
    <t>Delamination</t>
  </si>
  <si>
    <t>Tape &amp; Reel - Reel A Summary</t>
  </si>
  <si>
    <t>Reel No.</t>
  </si>
  <si>
    <t>Wafer ID</t>
  </si>
  <si>
    <t>Unit Count</t>
  </si>
  <si>
    <t>W1</t>
  </si>
  <si>
    <t>w2</t>
  </si>
  <si>
    <t>Total Reel: 3</t>
  </si>
  <si>
    <t>Wafer Information</t>
  </si>
  <si>
    <t>Reel No</t>
  </si>
  <si>
    <t>Total Wafer: 2</t>
  </si>
  <si>
    <t>Alarm List</t>
  </si>
  <si>
    <t>Frequency</t>
  </si>
  <si>
    <t>Alarm Type</t>
  </si>
  <si>
    <t>Alarm No</t>
  </si>
  <si>
    <t>Description</t>
  </si>
  <si>
    <t>Input Vision Allocate Die Continuous Fail. Please Reteach Map.</t>
  </si>
  <si>
    <t>Input Vision Continuous Fail. Please Reteach The Wafer Map And Confirm The Current Die Position.</t>
  </si>
  <si>
    <t>VSTV1: Learn New Die Pattern</t>
  </si>
  <si>
    <t>Tape &amp; Reel-B : Tape Seal Motor Jog Not Respond</t>
  </si>
  <si>
    <t>Tape &amp; Reel-B : In Pocket Vision Fail Unit Detected in Tape Pocket</t>
  </si>
  <si>
    <t>Unit Aligner Unit Inspection Empty Fail Reach Maximum Count</t>
  </si>
  <si>
    <t>VSIR: Learn New Die Pattern</t>
  </si>
  <si>
    <t>Unit Aligner 2 Vision Fail</t>
  </si>
  <si>
    <t>Unit Aligner 2 Unit Inspection Empty Fail Reach Maximum Count</t>
  </si>
  <si>
    <t>Die Position Vision 2: Learn New Die Pattern</t>
  </si>
  <si>
    <t>Die Position Vision 3: Learn New Die Pattern</t>
  </si>
  <si>
    <t>Die Position Vision 5: Learn New Die Pattern</t>
  </si>
  <si>
    <t>Lot</t>
  </si>
  <si>
    <t>Equip ID</t>
  </si>
  <si>
    <t>6mi28ph02</t>
  </si>
  <si>
    <t>Reel 1</t>
  </si>
  <si>
    <t xml:space="preserve">Reel 2 </t>
  </si>
  <si>
    <t>Reel 3</t>
  </si>
  <si>
    <t>Yield</t>
  </si>
  <si>
    <t>Total Reject</t>
  </si>
  <si>
    <t>Qty Insp DP1</t>
  </si>
  <si>
    <t>Date</t>
  </si>
  <si>
    <t>9/4/2025 5:10:13 PM To : 9/4/2025 7:40:43 PM</t>
  </si>
  <si>
    <t>qty inspecc</t>
  </si>
  <si>
    <t>total rejects</t>
  </si>
  <si>
    <t>reject table</t>
  </si>
  <si>
    <t>empty failed 8x</t>
  </si>
  <si>
    <t>crack - 72</t>
  </si>
  <si>
    <t>redline 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</si>
</sst>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CC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21" fontId="0" fillId="0" borderId="0" xfId="0" applyNumberFormat="1"/>
    <xf numFmtId="1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2" fillId="11" borderId="0" xfId="0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CC00"/>
      <color rgb="FFCC66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95B7-9DBC-4664-874E-BE4B7537A173}">
  <dimension ref="A1:F214"/>
  <sheetViews>
    <sheetView tabSelected="1" workbookViewId="0">
      <selection activeCell="A182" sqref="A182:XFD182"/>
    </sheetView>
  </sheetViews>
  <sheetFormatPr defaultRowHeight="15" x14ac:dyDescent="0.25"/>
  <cols>
    <col min="1" max="1" width="46.5703125" bestFit="1" customWidth="1"/>
    <col min="3" max="3" width="12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s="1">
        <v>8.4548611111111116E-2</v>
      </c>
    </row>
    <row r="6" spans="1:2" x14ac:dyDescent="0.25">
      <c r="A6" t="s">
        <v>6</v>
      </c>
      <c r="B6" s="1">
        <v>1.474537037037037E-2</v>
      </c>
    </row>
    <row r="7" spans="1:2" x14ac:dyDescent="0.25">
      <c r="A7" t="s">
        <v>7</v>
      </c>
      <c r="B7" s="1">
        <v>0</v>
      </c>
    </row>
    <row r="8" spans="1:2" x14ac:dyDescent="0.25">
      <c r="A8" t="s">
        <v>8</v>
      </c>
      <c r="B8">
        <v>16</v>
      </c>
    </row>
    <row r="9" spans="1:2" x14ac:dyDescent="0.25">
      <c r="A9" t="s">
        <v>9</v>
      </c>
      <c r="B9" s="1">
        <v>5.2199074074074075E-3</v>
      </c>
    </row>
    <row r="10" spans="1:2" x14ac:dyDescent="0.25">
      <c r="A10" t="s">
        <v>10</v>
      </c>
      <c r="B10" s="1">
        <v>0</v>
      </c>
    </row>
    <row r="11" spans="1:2" x14ac:dyDescent="0.25">
      <c r="A11" t="s">
        <v>11</v>
      </c>
      <c r="B11" s="1">
        <v>5.2777777777777779E-3</v>
      </c>
    </row>
    <row r="12" spans="1:2" x14ac:dyDescent="0.25">
      <c r="A12" t="s">
        <v>12</v>
      </c>
      <c r="B12" s="1">
        <v>3.2407407407407406E-4</v>
      </c>
    </row>
    <row r="13" spans="1:2" x14ac:dyDescent="0.25">
      <c r="A13" t="s">
        <v>13</v>
      </c>
      <c r="B13" s="1">
        <v>8.4548611111111116E-2</v>
      </c>
    </row>
    <row r="14" spans="1:2" x14ac:dyDescent="0.25">
      <c r="A14" t="s">
        <v>14</v>
      </c>
      <c r="B14" s="1">
        <v>0</v>
      </c>
    </row>
    <row r="15" spans="1:2" x14ac:dyDescent="0.25">
      <c r="A15" t="s">
        <v>15</v>
      </c>
      <c r="B15">
        <v>1058</v>
      </c>
    </row>
    <row r="16" spans="1:2" x14ac:dyDescent="0.25">
      <c r="A16" t="s">
        <v>16</v>
      </c>
      <c r="B16" s="1">
        <v>9.9293981481481483E-2</v>
      </c>
    </row>
    <row r="17" spans="1:6" x14ac:dyDescent="0.25">
      <c r="A17" t="s">
        <v>17</v>
      </c>
      <c r="B17" s="1">
        <v>5.2199074074074075E-3</v>
      </c>
    </row>
    <row r="19" spans="1:6" x14ac:dyDescent="0.25">
      <c r="A19" s="3" t="s">
        <v>18</v>
      </c>
    </row>
    <row r="20" spans="1:6" x14ac:dyDescent="0.25">
      <c r="B20" t="s">
        <v>19</v>
      </c>
      <c r="C20" t="s">
        <v>20</v>
      </c>
      <c r="D20" t="s">
        <v>21</v>
      </c>
    </row>
    <row r="21" spans="1:6" x14ac:dyDescent="0.25">
      <c r="A21" t="s">
        <v>22</v>
      </c>
      <c r="B21">
        <v>16937</v>
      </c>
    </row>
    <row r="22" spans="1:6" x14ac:dyDescent="0.25">
      <c r="A22" t="s">
        <v>23</v>
      </c>
      <c r="B22">
        <v>670</v>
      </c>
      <c r="C22" s="2">
        <v>3.9600000000000003E-2</v>
      </c>
      <c r="D22" t="s">
        <v>20</v>
      </c>
    </row>
    <row r="23" spans="1:6" x14ac:dyDescent="0.25">
      <c r="A23" t="s">
        <v>24</v>
      </c>
      <c r="B23" s="16">
        <v>16340</v>
      </c>
      <c r="C23" s="2">
        <v>0.96479999999999999</v>
      </c>
      <c r="D23" t="s">
        <v>19</v>
      </c>
    </row>
    <row r="24" spans="1:6" x14ac:dyDescent="0.25">
      <c r="A24" t="s">
        <v>25</v>
      </c>
      <c r="B24">
        <v>0</v>
      </c>
    </row>
    <row r="26" spans="1:6" x14ac:dyDescent="0.25">
      <c r="A26" t="s">
        <v>26</v>
      </c>
      <c r="B26" t="s">
        <v>19</v>
      </c>
      <c r="C26" t="s">
        <v>27</v>
      </c>
      <c r="D26" t="s">
        <v>28</v>
      </c>
    </row>
    <row r="27" spans="1:6" x14ac:dyDescent="0.25">
      <c r="A27" t="s">
        <v>29</v>
      </c>
      <c r="B27">
        <v>16863</v>
      </c>
      <c r="C27">
        <v>99.56</v>
      </c>
      <c r="D27">
        <v>99.56</v>
      </c>
    </row>
    <row r="28" spans="1:6" x14ac:dyDescent="0.25">
      <c r="A28" t="s">
        <v>30</v>
      </c>
      <c r="B28">
        <v>43</v>
      </c>
      <c r="C28">
        <v>0.25</v>
      </c>
      <c r="D28">
        <v>0.25</v>
      </c>
      <c r="F28">
        <v>596</v>
      </c>
    </row>
    <row r="29" spans="1:6" x14ac:dyDescent="0.25">
      <c r="A29" t="s">
        <v>31</v>
      </c>
      <c r="B29">
        <v>31</v>
      </c>
      <c r="C29">
        <v>0.18</v>
      </c>
      <c r="D29">
        <v>0.18</v>
      </c>
      <c r="F29">
        <f>F28+B28+B29</f>
        <v>670</v>
      </c>
    </row>
    <row r="30" spans="1:6" x14ac:dyDescent="0.25">
      <c r="A30" t="s">
        <v>32</v>
      </c>
      <c r="B30">
        <v>0</v>
      </c>
      <c r="C30">
        <v>0</v>
      </c>
      <c r="D30">
        <v>0</v>
      </c>
    </row>
    <row r="31" spans="1:6" x14ac:dyDescent="0.25">
      <c r="A31" t="s">
        <v>33</v>
      </c>
      <c r="B31">
        <v>0</v>
      </c>
      <c r="C31">
        <v>0</v>
      </c>
      <c r="D31">
        <v>0</v>
      </c>
    </row>
    <row r="32" spans="1:6" x14ac:dyDescent="0.25">
      <c r="A32" t="s">
        <v>34</v>
      </c>
      <c r="B32">
        <v>0</v>
      </c>
      <c r="C32">
        <v>0</v>
      </c>
      <c r="D32">
        <v>0</v>
      </c>
    </row>
    <row r="33" spans="1:4" x14ac:dyDescent="0.25">
      <c r="A33" t="s">
        <v>35</v>
      </c>
      <c r="B33">
        <v>0</v>
      </c>
      <c r="C33">
        <v>0</v>
      </c>
      <c r="D33">
        <v>0</v>
      </c>
    </row>
    <row r="34" spans="1:4" x14ac:dyDescent="0.25">
      <c r="A34" t="s">
        <v>36</v>
      </c>
      <c r="B34">
        <v>0</v>
      </c>
      <c r="C34">
        <v>0</v>
      </c>
      <c r="D34">
        <v>0</v>
      </c>
    </row>
    <row r="35" spans="1:4" x14ac:dyDescent="0.25">
      <c r="A35" t="s">
        <v>37</v>
      </c>
      <c r="B35">
        <v>0</v>
      </c>
      <c r="C35">
        <v>0</v>
      </c>
      <c r="D35">
        <v>0</v>
      </c>
    </row>
    <row r="36" spans="1:4" x14ac:dyDescent="0.25">
      <c r="A36" t="s">
        <v>38</v>
      </c>
      <c r="B36">
        <v>0</v>
      </c>
      <c r="C36">
        <v>0</v>
      </c>
      <c r="D36">
        <v>0</v>
      </c>
    </row>
    <row r="37" spans="1:4" x14ac:dyDescent="0.25">
      <c r="A37" t="s">
        <v>39</v>
      </c>
      <c r="B37">
        <v>0</v>
      </c>
      <c r="C37">
        <v>0</v>
      </c>
      <c r="D37">
        <v>0</v>
      </c>
    </row>
    <row r="38" spans="1:4" x14ac:dyDescent="0.25">
      <c r="A38" t="s">
        <v>40</v>
      </c>
      <c r="B38">
        <v>16937</v>
      </c>
      <c r="D38">
        <v>100</v>
      </c>
    </row>
    <row r="40" spans="1:4" x14ac:dyDescent="0.25">
      <c r="A40" s="3" t="s">
        <v>41</v>
      </c>
      <c r="B40" s="3" t="s">
        <v>19</v>
      </c>
      <c r="C40" s="3" t="s">
        <v>27</v>
      </c>
      <c r="D40" s="3" t="s">
        <v>28</v>
      </c>
    </row>
    <row r="41" spans="1:4" x14ac:dyDescent="0.25">
      <c r="A41" s="3" t="s">
        <v>29</v>
      </c>
      <c r="B41" s="3">
        <v>16809</v>
      </c>
      <c r="C41" s="3">
        <v>99.68</v>
      </c>
      <c r="D41" s="3">
        <v>99.24</v>
      </c>
    </row>
    <row r="42" spans="1:4" x14ac:dyDescent="0.25">
      <c r="A42" s="3" t="s">
        <v>30</v>
      </c>
      <c r="B42" s="3">
        <v>54</v>
      </c>
      <c r="C42" s="3">
        <v>0.32</v>
      </c>
      <c r="D42" s="3">
        <v>0.32</v>
      </c>
    </row>
    <row r="43" spans="1:4" x14ac:dyDescent="0.25">
      <c r="A43" s="3" t="s">
        <v>31</v>
      </c>
      <c r="B43" s="3">
        <v>0</v>
      </c>
      <c r="C43" s="3">
        <v>0</v>
      </c>
      <c r="D43" s="3">
        <v>0</v>
      </c>
    </row>
    <row r="44" spans="1:4" x14ac:dyDescent="0.25">
      <c r="A44" s="3" t="s">
        <v>32</v>
      </c>
      <c r="B44" s="3">
        <v>0</v>
      </c>
      <c r="C44" s="3">
        <v>0</v>
      </c>
      <c r="D44" s="3">
        <v>0</v>
      </c>
    </row>
    <row r="45" spans="1:4" x14ac:dyDescent="0.25">
      <c r="A45" s="3" t="s">
        <v>40</v>
      </c>
      <c r="B45" s="3">
        <v>16863</v>
      </c>
      <c r="C45" s="3"/>
      <c r="D45" s="3">
        <v>99.56</v>
      </c>
    </row>
    <row r="47" spans="1:4" x14ac:dyDescent="0.25">
      <c r="A47" s="4" t="s">
        <v>42</v>
      </c>
      <c r="B47" s="4" t="s">
        <v>19</v>
      </c>
      <c r="C47" t="s">
        <v>27</v>
      </c>
      <c r="D47" t="s">
        <v>28</v>
      </c>
    </row>
    <row r="48" spans="1:4" x14ac:dyDescent="0.25">
      <c r="A48" s="4" t="s">
        <v>29</v>
      </c>
      <c r="B48" s="4">
        <v>16806</v>
      </c>
      <c r="C48">
        <v>100</v>
      </c>
      <c r="D48">
        <v>99.23</v>
      </c>
    </row>
    <row r="49" spans="1:4" x14ac:dyDescent="0.25">
      <c r="A49" s="4" t="s">
        <v>30</v>
      </c>
      <c r="B49" s="4">
        <v>0</v>
      </c>
      <c r="C49">
        <v>0</v>
      </c>
      <c r="D49">
        <v>0</v>
      </c>
    </row>
    <row r="50" spans="1:4" x14ac:dyDescent="0.25">
      <c r="A50" s="4" t="s">
        <v>31</v>
      </c>
      <c r="B50" s="4">
        <v>0</v>
      </c>
      <c r="C50">
        <v>0</v>
      </c>
      <c r="D50">
        <v>0</v>
      </c>
    </row>
    <row r="51" spans="1:4" x14ac:dyDescent="0.25">
      <c r="A51" s="4" t="s">
        <v>32</v>
      </c>
      <c r="B51" s="4">
        <v>0</v>
      </c>
      <c r="C51">
        <v>0</v>
      </c>
      <c r="D51">
        <v>0</v>
      </c>
    </row>
    <row r="52" spans="1:4" x14ac:dyDescent="0.25">
      <c r="A52" s="4" t="s">
        <v>40</v>
      </c>
      <c r="B52" s="4">
        <v>16806</v>
      </c>
      <c r="D52">
        <v>99.23</v>
      </c>
    </row>
    <row r="54" spans="1:4" x14ac:dyDescent="0.25">
      <c r="A54" s="5" t="s">
        <v>43</v>
      </c>
      <c r="B54" s="5" t="s">
        <v>19</v>
      </c>
      <c r="C54" t="s">
        <v>27</v>
      </c>
      <c r="D54" t="s">
        <v>28</v>
      </c>
    </row>
    <row r="55" spans="1:4" x14ac:dyDescent="0.25">
      <c r="A55" s="5" t="s">
        <v>29</v>
      </c>
      <c r="B55" s="5">
        <v>16806</v>
      </c>
      <c r="C55">
        <v>100</v>
      </c>
      <c r="D55">
        <v>99.23</v>
      </c>
    </row>
    <row r="56" spans="1:4" x14ac:dyDescent="0.25">
      <c r="A56" s="5" t="s">
        <v>30</v>
      </c>
      <c r="B56" s="5">
        <v>0</v>
      </c>
      <c r="C56">
        <v>0</v>
      </c>
      <c r="D56">
        <v>0</v>
      </c>
    </row>
    <row r="57" spans="1:4" x14ac:dyDescent="0.25">
      <c r="A57" s="5" t="s">
        <v>31</v>
      </c>
      <c r="B57" s="5">
        <v>0</v>
      </c>
      <c r="C57">
        <v>0</v>
      </c>
      <c r="D57">
        <v>0</v>
      </c>
    </row>
    <row r="58" spans="1:4" x14ac:dyDescent="0.25">
      <c r="A58" s="5" t="s">
        <v>32</v>
      </c>
      <c r="B58" s="5">
        <v>0</v>
      </c>
      <c r="C58">
        <v>0</v>
      </c>
      <c r="D58">
        <v>0</v>
      </c>
    </row>
    <row r="59" spans="1:4" x14ac:dyDescent="0.25">
      <c r="A59" s="5" t="s">
        <v>40</v>
      </c>
      <c r="B59" s="5">
        <v>16806</v>
      </c>
      <c r="D59">
        <v>99.23</v>
      </c>
    </row>
    <row r="61" spans="1:4" x14ac:dyDescent="0.25">
      <c r="A61" s="6" t="s">
        <v>44</v>
      </c>
      <c r="B61" s="6" t="s">
        <v>19</v>
      </c>
      <c r="C61" t="s">
        <v>27</v>
      </c>
      <c r="D61" t="s">
        <v>28</v>
      </c>
    </row>
    <row r="62" spans="1:4" x14ac:dyDescent="0.25">
      <c r="A62" s="6" t="s">
        <v>29</v>
      </c>
      <c r="B62" s="6">
        <v>553</v>
      </c>
      <c r="C62">
        <v>100</v>
      </c>
      <c r="D62">
        <v>3.27</v>
      </c>
    </row>
    <row r="63" spans="1:4" x14ac:dyDescent="0.25">
      <c r="A63" s="6" t="s">
        <v>30</v>
      </c>
      <c r="B63" s="6">
        <v>0</v>
      </c>
      <c r="C63">
        <v>0</v>
      </c>
      <c r="D63">
        <v>0</v>
      </c>
    </row>
    <row r="64" spans="1:4" x14ac:dyDescent="0.25">
      <c r="A64" s="6" t="s">
        <v>31</v>
      </c>
      <c r="B64" s="6">
        <v>0</v>
      </c>
      <c r="C64">
        <v>0</v>
      </c>
      <c r="D64">
        <v>0</v>
      </c>
    </row>
    <row r="65" spans="1:4" x14ac:dyDescent="0.25">
      <c r="A65" s="6" t="s">
        <v>32</v>
      </c>
      <c r="B65" s="6">
        <v>0</v>
      </c>
      <c r="C65">
        <v>0</v>
      </c>
      <c r="D65">
        <v>0</v>
      </c>
    </row>
    <row r="66" spans="1:4" x14ac:dyDescent="0.25">
      <c r="A66" s="6" t="s">
        <v>40</v>
      </c>
      <c r="B66" s="6">
        <v>553</v>
      </c>
      <c r="D66">
        <v>3.27</v>
      </c>
    </row>
    <row r="68" spans="1:4" x14ac:dyDescent="0.25">
      <c r="A68" s="7" t="s">
        <v>45</v>
      </c>
      <c r="B68" s="7" t="s">
        <v>19</v>
      </c>
      <c r="C68" t="s">
        <v>27</v>
      </c>
      <c r="D68" t="s">
        <v>28</v>
      </c>
    </row>
    <row r="69" spans="1:4" x14ac:dyDescent="0.25">
      <c r="A69" s="7" t="s">
        <v>29</v>
      </c>
      <c r="B69" s="7">
        <v>16806</v>
      </c>
      <c r="C69">
        <v>99.98</v>
      </c>
      <c r="D69">
        <v>99.23</v>
      </c>
    </row>
    <row r="70" spans="1:4" x14ac:dyDescent="0.25">
      <c r="A70" s="7" t="s">
        <v>30</v>
      </c>
      <c r="B70" s="7">
        <v>2</v>
      </c>
      <c r="C70">
        <v>0.01</v>
      </c>
      <c r="D70">
        <v>0.01</v>
      </c>
    </row>
    <row r="71" spans="1:4" x14ac:dyDescent="0.25">
      <c r="A71" s="7" t="s">
        <v>31</v>
      </c>
      <c r="B71" s="7">
        <v>1</v>
      </c>
      <c r="C71">
        <v>0.01</v>
      </c>
      <c r="D71">
        <v>0.01</v>
      </c>
    </row>
    <row r="72" spans="1:4" x14ac:dyDescent="0.25">
      <c r="A72" s="7" t="s">
        <v>32</v>
      </c>
      <c r="B72" s="7">
        <v>0</v>
      </c>
      <c r="C72">
        <v>0</v>
      </c>
      <c r="D72">
        <v>0</v>
      </c>
    </row>
    <row r="73" spans="1:4" x14ac:dyDescent="0.25">
      <c r="A73" s="7" t="s">
        <v>40</v>
      </c>
      <c r="B73" s="7">
        <v>16809</v>
      </c>
      <c r="D73">
        <v>99.24</v>
      </c>
    </row>
    <row r="75" spans="1:4" x14ac:dyDescent="0.25">
      <c r="A75" s="8" t="s">
        <v>46</v>
      </c>
      <c r="B75" s="8" t="s">
        <v>19</v>
      </c>
      <c r="C75" t="s">
        <v>27</v>
      </c>
      <c r="D75" t="s">
        <v>28</v>
      </c>
    </row>
    <row r="76" spans="1:4" x14ac:dyDescent="0.25">
      <c r="A76" s="8" t="s">
        <v>29</v>
      </c>
      <c r="B76" s="8">
        <v>16350</v>
      </c>
      <c r="C76">
        <v>99.25</v>
      </c>
      <c r="D76">
        <v>96.53</v>
      </c>
    </row>
    <row r="77" spans="1:4" x14ac:dyDescent="0.25">
      <c r="A77" s="8" t="s">
        <v>30</v>
      </c>
      <c r="B77" s="8">
        <v>0</v>
      </c>
      <c r="C77">
        <v>0</v>
      </c>
      <c r="D77">
        <v>0</v>
      </c>
    </row>
    <row r="78" spans="1:4" x14ac:dyDescent="0.25">
      <c r="A78" s="8" t="s">
        <v>31</v>
      </c>
      <c r="B78" s="8">
        <v>0</v>
      </c>
      <c r="C78">
        <v>0</v>
      </c>
      <c r="D78">
        <v>0</v>
      </c>
    </row>
    <row r="79" spans="1:4" x14ac:dyDescent="0.25">
      <c r="A79" s="8" t="s">
        <v>32</v>
      </c>
      <c r="B79" s="8">
        <v>0</v>
      </c>
      <c r="C79">
        <v>0</v>
      </c>
      <c r="D79">
        <v>0</v>
      </c>
    </row>
    <row r="80" spans="1:4" x14ac:dyDescent="0.25">
      <c r="A80" s="8" t="s">
        <v>47</v>
      </c>
      <c r="B80" s="8">
        <v>0</v>
      </c>
      <c r="C80">
        <v>0</v>
      </c>
      <c r="D80">
        <v>0</v>
      </c>
    </row>
    <row r="81" spans="1:4" x14ac:dyDescent="0.25">
      <c r="A81" s="8" t="s">
        <v>48</v>
      </c>
      <c r="B81" s="8">
        <v>32</v>
      </c>
      <c r="C81">
        <v>0.19</v>
      </c>
      <c r="D81">
        <v>0.19</v>
      </c>
    </row>
    <row r="82" spans="1:4" x14ac:dyDescent="0.25">
      <c r="A82" s="8" t="s">
        <v>49</v>
      </c>
      <c r="B82" s="8">
        <v>0</v>
      </c>
      <c r="C82">
        <v>0</v>
      </c>
      <c r="D82">
        <v>0</v>
      </c>
    </row>
    <row r="83" spans="1:4" x14ac:dyDescent="0.25">
      <c r="A83" s="8" t="s">
        <v>35</v>
      </c>
      <c r="B83" s="8">
        <v>88</v>
      </c>
      <c r="C83">
        <v>0.53</v>
      </c>
      <c r="D83">
        <v>0.52</v>
      </c>
    </row>
    <row r="84" spans="1:4" x14ac:dyDescent="0.25">
      <c r="A84" s="8" t="s">
        <v>36</v>
      </c>
      <c r="B84" s="8">
        <v>0</v>
      </c>
      <c r="C84">
        <v>0</v>
      </c>
      <c r="D84">
        <v>0</v>
      </c>
    </row>
    <row r="85" spans="1:4" x14ac:dyDescent="0.25">
      <c r="A85" s="8" t="s">
        <v>50</v>
      </c>
      <c r="B85" s="8">
        <v>0</v>
      </c>
      <c r="C85">
        <v>0</v>
      </c>
      <c r="D85">
        <v>0</v>
      </c>
    </row>
    <row r="86" spans="1:4" x14ac:dyDescent="0.25">
      <c r="A86" s="8" t="s">
        <v>51</v>
      </c>
      <c r="B86" s="8">
        <v>0</v>
      </c>
      <c r="C86">
        <v>0</v>
      </c>
      <c r="D86">
        <v>0</v>
      </c>
    </row>
    <row r="87" spans="1:4" x14ac:dyDescent="0.25">
      <c r="A87" s="8" t="s">
        <v>52</v>
      </c>
      <c r="B87" s="8">
        <v>0</v>
      </c>
      <c r="C87">
        <v>0</v>
      </c>
      <c r="D87">
        <v>0</v>
      </c>
    </row>
    <row r="88" spans="1:4" x14ac:dyDescent="0.25">
      <c r="A88" s="8" t="s">
        <v>37</v>
      </c>
      <c r="B88" s="8">
        <v>0</v>
      </c>
      <c r="C88">
        <v>0</v>
      </c>
      <c r="D88">
        <v>0</v>
      </c>
    </row>
    <row r="89" spans="1:4" x14ac:dyDescent="0.25">
      <c r="A89" s="8" t="s">
        <v>38</v>
      </c>
      <c r="B89" s="8">
        <v>4</v>
      </c>
      <c r="C89">
        <v>0.02</v>
      </c>
      <c r="D89">
        <v>0.02</v>
      </c>
    </row>
    <row r="90" spans="1:4" x14ac:dyDescent="0.25">
      <c r="A90" s="8" t="s">
        <v>40</v>
      </c>
      <c r="B90" s="8">
        <v>16474</v>
      </c>
      <c r="D90">
        <v>97.27</v>
      </c>
    </row>
    <row r="92" spans="1:4" x14ac:dyDescent="0.25">
      <c r="A92" s="9" t="s">
        <v>53</v>
      </c>
      <c r="B92" s="9" t="s">
        <v>19</v>
      </c>
      <c r="C92" t="s">
        <v>27</v>
      </c>
      <c r="D92" t="s">
        <v>28</v>
      </c>
    </row>
    <row r="93" spans="1:4" x14ac:dyDescent="0.25">
      <c r="A93" s="9" t="s">
        <v>29</v>
      </c>
      <c r="B93" s="9">
        <v>0</v>
      </c>
      <c r="C93">
        <v>0</v>
      </c>
      <c r="D93">
        <v>0</v>
      </c>
    </row>
    <row r="94" spans="1:4" x14ac:dyDescent="0.25">
      <c r="A94" s="9" t="s">
        <v>30</v>
      </c>
      <c r="B94" s="9">
        <v>0</v>
      </c>
      <c r="C94">
        <v>0</v>
      </c>
      <c r="D94">
        <v>0</v>
      </c>
    </row>
    <row r="95" spans="1:4" x14ac:dyDescent="0.25">
      <c r="A95" s="9" t="s">
        <v>31</v>
      </c>
      <c r="B95" s="9">
        <v>0</v>
      </c>
      <c r="C95">
        <v>0</v>
      </c>
      <c r="D95">
        <v>0</v>
      </c>
    </row>
    <row r="96" spans="1:4" x14ac:dyDescent="0.25">
      <c r="A96" s="9" t="s">
        <v>32</v>
      </c>
      <c r="B96" s="9">
        <v>0</v>
      </c>
      <c r="C96">
        <v>0</v>
      </c>
      <c r="D96">
        <v>0</v>
      </c>
    </row>
    <row r="97" spans="1:4" x14ac:dyDescent="0.25">
      <c r="A97" s="9" t="s">
        <v>34</v>
      </c>
      <c r="B97" s="9">
        <v>0</v>
      </c>
      <c r="C97">
        <v>0</v>
      </c>
      <c r="D97">
        <v>0</v>
      </c>
    </row>
    <row r="98" spans="1:4" x14ac:dyDescent="0.25">
      <c r="A98" s="9" t="s">
        <v>35</v>
      </c>
      <c r="B98" s="9">
        <v>0</v>
      </c>
      <c r="C98">
        <v>0</v>
      </c>
      <c r="D98">
        <v>0</v>
      </c>
    </row>
    <row r="99" spans="1:4" x14ac:dyDescent="0.25">
      <c r="A99" s="9" t="s">
        <v>36</v>
      </c>
      <c r="B99" s="9">
        <v>0</v>
      </c>
      <c r="C99">
        <v>0</v>
      </c>
      <c r="D99">
        <v>0</v>
      </c>
    </row>
    <row r="100" spans="1:4" x14ac:dyDescent="0.25">
      <c r="A100" s="9" t="s">
        <v>37</v>
      </c>
      <c r="B100" s="9">
        <v>0</v>
      </c>
      <c r="C100">
        <v>0</v>
      </c>
      <c r="D100">
        <v>0</v>
      </c>
    </row>
    <row r="101" spans="1:4" x14ac:dyDescent="0.25">
      <c r="A101" s="9" t="s">
        <v>40</v>
      </c>
      <c r="B101" s="9">
        <v>0</v>
      </c>
      <c r="D101">
        <v>0</v>
      </c>
    </row>
    <row r="103" spans="1:4" x14ac:dyDescent="0.25">
      <c r="A103" s="10" t="s">
        <v>54</v>
      </c>
      <c r="B103" s="10" t="s">
        <v>19</v>
      </c>
      <c r="C103" t="s">
        <v>27</v>
      </c>
      <c r="D103" t="s">
        <v>28</v>
      </c>
    </row>
    <row r="104" spans="1:4" x14ac:dyDescent="0.25">
      <c r="A104" s="10" t="s">
        <v>29</v>
      </c>
      <c r="B104" s="10">
        <v>16340</v>
      </c>
      <c r="C104">
        <v>100</v>
      </c>
      <c r="D104">
        <v>96.48</v>
      </c>
    </row>
    <row r="105" spans="1:4" x14ac:dyDescent="0.25">
      <c r="A105" s="10" t="s">
        <v>31</v>
      </c>
      <c r="B105" s="10">
        <v>0</v>
      </c>
      <c r="C105">
        <v>0</v>
      </c>
      <c r="D105">
        <v>0</v>
      </c>
    </row>
    <row r="106" spans="1:4" x14ac:dyDescent="0.25">
      <c r="A106" s="10" t="s">
        <v>40</v>
      </c>
      <c r="B106" s="10">
        <v>16340</v>
      </c>
      <c r="D106">
        <v>96.48</v>
      </c>
    </row>
    <row r="108" spans="1:4" x14ac:dyDescent="0.25">
      <c r="A108" s="11" t="s">
        <v>55</v>
      </c>
      <c r="B108" s="11" t="s">
        <v>19</v>
      </c>
      <c r="C108" t="s">
        <v>27</v>
      </c>
      <c r="D108" t="s">
        <v>28</v>
      </c>
    </row>
    <row r="109" spans="1:4" x14ac:dyDescent="0.25">
      <c r="A109" s="11" t="s">
        <v>29</v>
      </c>
      <c r="B109" s="11">
        <v>16340</v>
      </c>
      <c r="C109">
        <v>100</v>
      </c>
      <c r="D109">
        <v>96.48</v>
      </c>
    </row>
    <row r="110" spans="1:4" x14ac:dyDescent="0.25">
      <c r="A110" s="11" t="s">
        <v>30</v>
      </c>
      <c r="B110" s="11">
        <v>0</v>
      </c>
      <c r="C110">
        <v>0</v>
      </c>
      <c r="D110">
        <v>0</v>
      </c>
    </row>
    <row r="111" spans="1:4" x14ac:dyDescent="0.25">
      <c r="A111" s="11" t="s">
        <v>31</v>
      </c>
      <c r="B111" s="11">
        <v>0</v>
      </c>
      <c r="C111">
        <v>0</v>
      </c>
      <c r="D111">
        <v>0</v>
      </c>
    </row>
    <row r="112" spans="1:4" x14ac:dyDescent="0.25">
      <c r="A112" s="11" t="s">
        <v>32</v>
      </c>
      <c r="B112" s="11">
        <v>0</v>
      </c>
      <c r="C112">
        <v>0</v>
      </c>
      <c r="D112">
        <v>0</v>
      </c>
    </row>
    <row r="113" spans="1:4" x14ac:dyDescent="0.25">
      <c r="A113" s="11" t="s">
        <v>48</v>
      </c>
      <c r="B113" s="11">
        <v>0</v>
      </c>
      <c r="C113">
        <v>0</v>
      </c>
      <c r="D113">
        <v>0</v>
      </c>
    </row>
    <row r="114" spans="1:4" x14ac:dyDescent="0.25">
      <c r="A114" s="11" t="s">
        <v>49</v>
      </c>
      <c r="B114" s="11">
        <v>0</v>
      </c>
      <c r="C114">
        <v>0</v>
      </c>
      <c r="D114">
        <v>0</v>
      </c>
    </row>
    <row r="115" spans="1:4" x14ac:dyDescent="0.25">
      <c r="A115" s="11" t="s">
        <v>35</v>
      </c>
      <c r="B115" s="11">
        <v>0</v>
      </c>
      <c r="C115">
        <v>0</v>
      </c>
      <c r="D115">
        <v>0</v>
      </c>
    </row>
    <row r="116" spans="1:4" x14ac:dyDescent="0.25">
      <c r="A116" s="11" t="s">
        <v>36</v>
      </c>
      <c r="B116" s="11">
        <v>0</v>
      </c>
      <c r="C116">
        <v>0</v>
      </c>
      <c r="D116">
        <v>0</v>
      </c>
    </row>
    <row r="117" spans="1:4" x14ac:dyDescent="0.25">
      <c r="A117" s="11" t="s">
        <v>56</v>
      </c>
      <c r="B117" s="11">
        <v>0</v>
      </c>
      <c r="C117">
        <v>0</v>
      </c>
      <c r="D117">
        <v>0</v>
      </c>
    </row>
    <row r="118" spans="1:4" x14ac:dyDescent="0.25">
      <c r="A118" s="11" t="s">
        <v>57</v>
      </c>
      <c r="B118" s="11">
        <v>0</v>
      </c>
      <c r="C118">
        <v>0</v>
      </c>
      <c r="D118">
        <v>0</v>
      </c>
    </row>
    <row r="119" spans="1:4" x14ac:dyDescent="0.25">
      <c r="A119" s="11" t="s">
        <v>50</v>
      </c>
      <c r="B119" s="11">
        <v>0</v>
      </c>
      <c r="C119">
        <v>0</v>
      </c>
      <c r="D119">
        <v>0</v>
      </c>
    </row>
    <row r="120" spans="1:4" x14ac:dyDescent="0.25">
      <c r="A120" s="11" t="s">
        <v>51</v>
      </c>
      <c r="B120" s="11">
        <v>0</v>
      </c>
      <c r="C120">
        <v>0</v>
      </c>
      <c r="D120">
        <v>0</v>
      </c>
    </row>
    <row r="121" spans="1:4" x14ac:dyDescent="0.25">
      <c r="A121" s="11" t="s">
        <v>58</v>
      </c>
      <c r="B121" s="11">
        <v>0</v>
      </c>
      <c r="C121">
        <v>0</v>
      </c>
      <c r="D121">
        <v>0</v>
      </c>
    </row>
    <row r="122" spans="1:4" x14ac:dyDescent="0.25">
      <c r="A122" s="11" t="s">
        <v>59</v>
      </c>
      <c r="B122" s="11">
        <v>0</v>
      </c>
      <c r="C122">
        <v>0</v>
      </c>
      <c r="D122">
        <v>0</v>
      </c>
    </row>
    <row r="123" spans="1:4" x14ac:dyDescent="0.25">
      <c r="A123" s="11" t="s">
        <v>60</v>
      </c>
      <c r="B123" s="11">
        <v>0</v>
      </c>
      <c r="C123">
        <v>0</v>
      </c>
      <c r="D123">
        <v>0</v>
      </c>
    </row>
    <row r="124" spans="1:4" x14ac:dyDescent="0.25">
      <c r="A124" s="11" t="s">
        <v>61</v>
      </c>
      <c r="B124" s="11">
        <v>0</v>
      </c>
      <c r="C124">
        <v>0</v>
      </c>
      <c r="D124">
        <v>0</v>
      </c>
    </row>
    <row r="125" spans="1:4" x14ac:dyDescent="0.25">
      <c r="A125" s="11" t="s">
        <v>62</v>
      </c>
      <c r="B125" s="11">
        <v>0</v>
      </c>
      <c r="C125">
        <v>0</v>
      </c>
      <c r="D125">
        <v>0</v>
      </c>
    </row>
    <row r="126" spans="1:4" x14ac:dyDescent="0.25">
      <c r="A126" s="11" t="s">
        <v>40</v>
      </c>
      <c r="B126" s="11">
        <v>16340</v>
      </c>
      <c r="D126">
        <v>96.48</v>
      </c>
    </row>
    <row r="128" spans="1:4" x14ac:dyDescent="0.25">
      <c r="A128" s="12" t="s">
        <v>63</v>
      </c>
      <c r="B128" s="12" t="s">
        <v>19</v>
      </c>
    </row>
    <row r="129" spans="1:2" x14ac:dyDescent="0.25">
      <c r="A129" s="12" t="s">
        <v>30</v>
      </c>
      <c r="B129" s="12">
        <v>0</v>
      </c>
    </row>
    <row r="130" spans="1:2" x14ac:dyDescent="0.25">
      <c r="A130" s="12" t="s">
        <v>31</v>
      </c>
      <c r="B130" s="12">
        <v>0</v>
      </c>
    </row>
    <row r="131" spans="1:2" x14ac:dyDescent="0.25">
      <c r="A131" s="12" t="s">
        <v>32</v>
      </c>
      <c r="B131" s="12">
        <v>0</v>
      </c>
    </row>
    <row r="132" spans="1:2" x14ac:dyDescent="0.25">
      <c r="A132" s="12" t="s">
        <v>34</v>
      </c>
      <c r="B132" s="12">
        <v>0</v>
      </c>
    </row>
    <row r="133" spans="1:2" x14ac:dyDescent="0.25">
      <c r="A133" s="12" t="s">
        <v>36</v>
      </c>
      <c r="B133" s="12">
        <v>0</v>
      </c>
    </row>
    <row r="134" spans="1:2" x14ac:dyDescent="0.25">
      <c r="A134" s="12" t="s">
        <v>35</v>
      </c>
      <c r="B134" s="12">
        <v>0</v>
      </c>
    </row>
    <row r="135" spans="1:2" x14ac:dyDescent="0.25">
      <c r="A135" s="12" t="s">
        <v>58</v>
      </c>
      <c r="B135" s="12">
        <v>0</v>
      </c>
    </row>
    <row r="136" spans="1:2" x14ac:dyDescent="0.25">
      <c r="A136" s="12" t="s">
        <v>64</v>
      </c>
      <c r="B136" s="12">
        <v>0</v>
      </c>
    </row>
    <row r="137" spans="1:2" x14ac:dyDescent="0.25">
      <c r="A137" s="12" t="s">
        <v>65</v>
      </c>
      <c r="B137" s="12">
        <v>0</v>
      </c>
    </row>
    <row r="138" spans="1:2" x14ac:dyDescent="0.25">
      <c r="A138" s="12" t="s">
        <v>66</v>
      </c>
      <c r="B138" s="12">
        <v>0</v>
      </c>
    </row>
    <row r="139" spans="1:2" x14ac:dyDescent="0.25">
      <c r="A139" s="12" t="s">
        <v>67</v>
      </c>
      <c r="B139" s="12">
        <v>0</v>
      </c>
    </row>
    <row r="140" spans="1:2" x14ac:dyDescent="0.25">
      <c r="A140" s="12" t="s">
        <v>68</v>
      </c>
      <c r="B140" s="12">
        <v>0</v>
      </c>
    </row>
    <row r="141" spans="1:2" x14ac:dyDescent="0.25">
      <c r="A141" s="12" t="s">
        <v>69</v>
      </c>
      <c r="B141" s="12">
        <v>0</v>
      </c>
    </row>
    <row r="142" spans="1:2" x14ac:dyDescent="0.25">
      <c r="A142" s="12" t="s">
        <v>70</v>
      </c>
      <c r="B142" s="12">
        <v>0</v>
      </c>
    </row>
    <row r="143" spans="1:2" x14ac:dyDescent="0.25">
      <c r="A143" s="12" t="s">
        <v>71</v>
      </c>
      <c r="B143" s="12">
        <v>0</v>
      </c>
    </row>
    <row r="144" spans="1:2" x14ac:dyDescent="0.25">
      <c r="A144" s="12" t="s">
        <v>72</v>
      </c>
      <c r="B144" s="12">
        <v>0</v>
      </c>
    </row>
    <row r="145" spans="1:4" x14ac:dyDescent="0.25">
      <c r="A145" s="12" t="s">
        <v>73</v>
      </c>
      <c r="B145" s="12">
        <v>0</v>
      </c>
    </row>
    <row r="146" spans="1:4" x14ac:dyDescent="0.25">
      <c r="A146" s="12" t="s">
        <v>40</v>
      </c>
      <c r="B146" s="12">
        <v>0</v>
      </c>
    </row>
    <row r="148" spans="1:4" x14ac:dyDescent="0.25">
      <c r="A148" s="14" t="s">
        <v>74</v>
      </c>
      <c r="B148" s="14" t="s">
        <v>19</v>
      </c>
      <c r="C148" t="s">
        <v>27</v>
      </c>
      <c r="D148" t="s">
        <v>28</v>
      </c>
    </row>
    <row r="149" spans="1:4" x14ac:dyDescent="0.25">
      <c r="A149" s="14" t="s">
        <v>29</v>
      </c>
      <c r="B149" s="14">
        <v>16391</v>
      </c>
      <c r="C149">
        <v>99.98</v>
      </c>
      <c r="D149">
        <v>96.78</v>
      </c>
    </row>
    <row r="150" spans="1:4" x14ac:dyDescent="0.25">
      <c r="A150" s="14" t="s">
        <v>30</v>
      </c>
      <c r="B150" s="14">
        <v>0</v>
      </c>
      <c r="C150">
        <v>0</v>
      </c>
      <c r="D150">
        <v>0</v>
      </c>
    </row>
    <row r="151" spans="1:4" x14ac:dyDescent="0.25">
      <c r="A151" s="14" t="s">
        <v>31</v>
      </c>
      <c r="B151" s="14">
        <v>0</v>
      </c>
      <c r="C151">
        <v>0</v>
      </c>
      <c r="D151">
        <v>0</v>
      </c>
    </row>
    <row r="152" spans="1:4" x14ac:dyDescent="0.25">
      <c r="A152" s="14" t="s">
        <v>34</v>
      </c>
      <c r="B152" s="14">
        <v>0</v>
      </c>
      <c r="C152">
        <v>0</v>
      </c>
      <c r="D152">
        <v>0</v>
      </c>
    </row>
    <row r="153" spans="1:4" x14ac:dyDescent="0.25">
      <c r="A153" s="14" t="s">
        <v>35</v>
      </c>
      <c r="B153" s="14">
        <v>0</v>
      </c>
      <c r="C153">
        <v>0</v>
      </c>
      <c r="D153">
        <v>0</v>
      </c>
    </row>
    <row r="154" spans="1:4" x14ac:dyDescent="0.25">
      <c r="A154" s="14" t="s">
        <v>36</v>
      </c>
      <c r="B154" s="14">
        <v>0</v>
      </c>
      <c r="C154">
        <v>0</v>
      </c>
      <c r="D154">
        <v>0</v>
      </c>
    </row>
    <row r="155" spans="1:4" x14ac:dyDescent="0.25">
      <c r="A155" s="14" t="s">
        <v>58</v>
      </c>
      <c r="B155" s="14">
        <v>0</v>
      </c>
      <c r="C155">
        <v>0</v>
      </c>
      <c r="D155">
        <v>0</v>
      </c>
    </row>
    <row r="156" spans="1:4" x14ac:dyDescent="0.25">
      <c r="A156" s="14" t="s">
        <v>75</v>
      </c>
      <c r="B156" s="14">
        <v>0</v>
      </c>
      <c r="C156">
        <v>0</v>
      </c>
      <c r="D156">
        <v>0</v>
      </c>
    </row>
    <row r="157" spans="1:4" x14ac:dyDescent="0.25">
      <c r="A157" s="14" t="s">
        <v>62</v>
      </c>
      <c r="B157" s="14">
        <v>4</v>
      </c>
      <c r="C157">
        <v>0.02</v>
      </c>
      <c r="D157">
        <v>0.02</v>
      </c>
    </row>
    <row r="158" spans="1:4" x14ac:dyDescent="0.25">
      <c r="A158" s="14" t="s">
        <v>40</v>
      </c>
      <c r="B158" s="14">
        <v>16395</v>
      </c>
      <c r="D158">
        <v>96.8</v>
      </c>
    </row>
    <row r="160" spans="1:4" x14ac:dyDescent="0.25">
      <c r="A160" s="15" t="s">
        <v>76</v>
      </c>
      <c r="B160" s="15" t="s">
        <v>19</v>
      </c>
      <c r="C160" t="s">
        <v>27</v>
      </c>
      <c r="D160" t="s">
        <v>28</v>
      </c>
    </row>
    <row r="161" spans="1:4" x14ac:dyDescent="0.25">
      <c r="A161" s="15" t="s">
        <v>29</v>
      </c>
      <c r="B161" s="15">
        <v>1672</v>
      </c>
      <c r="C161">
        <v>100</v>
      </c>
      <c r="D161">
        <v>9.8699999999999992</v>
      </c>
    </row>
    <row r="162" spans="1:4" x14ac:dyDescent="0.25">
      <c r="A162" s="15" t="s">
        <v>30</v>
      </c>
      <c r="B162" s="15">
        <v>0</v>
      </c>
      <c r="C162">
        <v>0</v>
      </c>
      <c r="D162">
        <v>0</v>
      </c>
    </row>
    <row r="163" spans="1:4" x14ac:dyDescent="0.25">
      <c r="A163" s="15" t="s">
        <v>31</v>
      </c>
      <c r="B163" s="15">
        <v>0</v>
      </c>
      <c r="C163">
        <v>0</v>
      </c>
      <c r="D163">
        <v>0</v>
      </c>
    </row>
    <row r="164" spans="1:4" x14ac:dyDescent="0.25">
      <c r="A164" s="15" t="s">
        <v>77</v>
      </c>
      <c r="B164" s="15">
        <v>0</v>
      </c>
      <c r="C164">
        <v>0</v>
      </c>
      <c r="D164">
        <v>0</v>
      </c>
    </row>
    <row r="165" spans="1:4" x14ac:dyDescent="0.25">
      <c r="A165" s="15" t="s">
        <v>78</v>
      </c>
      <c r="B165" s="15">
        <v>0</v>
      </c>
      <c r="C165">
        <v>0</v>
      </c>
      <c r="D165">
        <v>0</v>
      </c>
    </row>
    <row r="166" spans="1:4" x14ac:dyDescent="0.25">
      <c r="A166" s="15" t="s">
        <v>79</v>
      </c>
      <c r="B166" s="15">
        <v>0</v>
      </c>
      <c r="C166">
        <v>0</v>
      </c>
      <c r="D166">
        <v>0</v>
      </c>
    </row>
    <row r="167" spans="1:4" x14ac:dyDescent="0.25">
      <c r="A167" s="15" t="s">
        <v>40</v>
      </c>
      <c r="B167" s="15">
        <v>1672</v>
      </c>
      <c r="D167">
        <v>9.8699999999999992</v>
      </c>
    </row>
    <row r="169" spans="1:4" x14ac:dyDescent="0.25">
      <c r="A169" s="16" t="s">
        <v>80</v>
      </c>
      <c r="B169" s="16" t="s">
        <v>19</v>
      </c>
      <c r="C169" t="s">
        <v>27</v>
      </c>
      <c r="D169" t="s">
        <v>28</v>
      </c>
    </row>
    <row r="170" spans="1:4" x14ac:dyDescent="0.25">
      <c r="A170" s="16" t="s">
        <v>29</v>
      </c>
      <c r="B170" s="16">
        <v>16395</v>
      </c>
      <c r="C170">
        <v>97.55</v>
      </c>
      <c r="D170">
        <v>96.8</v>
      </c>
    </row>
    <row r="171" spans="1:4" x14ac:dyDescent="0.25">
      <c r="A171" s="16" t="s">
        <v>30</v>
      </c>
      <c r="B171" s="16">
        <v>0</v>
      </c>
      <c r="C171">
        <v>0</v>
      </c>
      <c r="D171">
        <v>0</v>
      </c>
    </row>
    <row r="172" spans="1:4" x14ac:dyDescent="0.25">
      <c r="A172" s="16" t="s">
        <v>31</v>
      </c>
      <c r="B172" s="16">
        <v>0</v>
      </c>
      <c r="C172">
        <v>0</v>
      </c>
      <c r="D172">
        <v>0</v>
      </c>
    </row>
    <row r="173" spans="1:4" x14ac:dyDescent="0.25">
      <c r="A173" s="16" t="s">
        <v>32</v>
      </c>
      <c r="B173" s="16">
        <v>0</v>
      </c>
      <c r="C173">
        <v>0</v>
      </c>
      <c r="D173">
        <v>0</v>
      </c>
    </row>
    <row r="174" spans="1:4" x14ac:dyDescent="0.25">
      <c r="A174" s="16" t="s">
        <v>34</v>
      </c>
      <c r="B174" s="16">
        <v>0</v>
      </c>
      <c r="C174">
        <v>0</v>
      </c>
      <c r="D174">
        <v>0</v>
      </c>
    </row>
    <row r="175" spans="1:4" x14ac:dyDescent="0.25">
      <c r="A175" s="16" t="s">
        <v>35</v>
      </c>
      <c r="B175" s="16">
        <v>0</v>
      </c>
      <c r="C175">
        <v>0</v>
      </c>
      <c r="D175">
        <v>0</v>
      </c>
    </row>
    <row r="176" spans="1:4" x14ac:dyDescent="0.25">
      <c r="A176" s="16" t="s">
        <v>36</v>
      </c>
      <c r="B176" s="16">
        <v>411</v>
      </c>
      <c r="C176">
        <v>2.4500000000000002</v>
      </c>
      <c r="D176">
        <v>2.4300000000000002</v>
      </c>
    </row>
    <row r="177" spans="1:4" x14ac:dyDescent="0.25">
      <c r="A177" s="16" t="s">
        <v>58</v>
      </c>
      <c r="B177" s="16">
        <v>0</v>
      </c>
      <c r="C177">
        <v>0</v>
      </c>
      <c r="D177">
        <v>0</v>
      </c>
    </row>
    <row r="178" spans="1:4" x14ac:dyDescent="0.25">
      <c r="A178" s="16" t="s">
        <v>81</v>
      </c>
      <c r="B178" s="16">
        <v>0</v>
      </c>
      <c r="C178">
        <v>0</v>
      </c>
      <c r="D178">
        <v>0</v>
      </c>
    </row>
    <row r="179" spans="1:4" x14ac:dyDescent="0.25">
      <c r="A179" s="16" t="s">
        <v>40</v>
      </c>
      <c r="B179" s="16">
        <v>16806</v>
      </c>
      <c r="D179">
        <v>99.23</v>
      </c>
    </row>
    <row r="182" spans="1:4" x14ac:dyDescent="0.25">
      <c r="A182" t="s">
        <v>82</v>
      </c>
    </row>
    <row r="183" spans="1:4" x14ac:dyDescent="0.25">
      <c r="A183" t="s">
        <v>83</v>
      </c>
      <c r="B183" t="s">
        <v>84</v>
      </c>
      <c r="C183" t="s">
        <v>85</v>
      </c>
    </row>
    <row r="184" spans="1:4" x14ac:dyDescent="0.25">
      <c r="A184">
        <v>1</v>
      </c>
      <c r="B184" t="s">
        <v>86</v>
      </c>
      <c r="C184">
        <v>400</v>
      </c>
    </row>
    <row r="185" spans="1:4" x14ac:dyDescent="0.25">
      <c r="A185">
        <v>2</v>
      </c>
      <c r="B185" t="s">
        <v>86</v>
      </c>
      <c r="C185">
        <v>5800</v>
      </c>
    </row>
    <row r="186" spans="1:4" x14ac:dyDescent="0.25">
      <c r="A186">
        <v>2</v>
      </c>
      <c r="B186" t="s">
        <v>87</v>
      </c>
      <c r="C186">
        <v>6700</v>
      </c>
    </row>
    <row r="187" spans="1:4" x14ac:dyDescent="0.25">
      <c r="A187">
        <v>3</v>
      </c>
      <c r="B187" t="s">
        <v>87</v>
      </c>
      <c r="C187">
        <v>3440</v>
      </c>
    </row>
    <row r="189" spans="1:4" x14ac:dyDescent="0.25">
      <c r="A189" t="s">
        <v>88</v>
      </c>
    </row>
    <row r="191" spans="1:4" x14ac:dyDescent="0.25">
      <c r="A191" t="s">
        <v>89</v>
      </c>
    </row>
    <row r="192" spans="1:4" x14ac:dyDescent="0.25">
      <c r="A192" t="s">
        <v>84</v>
      </c>
      <c r="B192" t="s">
        <v>90</v>
      </c>
      <c r="C192" t="s">
        <v>85</v>
      </c>
    </row>
    <row r="193" spans="1:4" x14ac:dyDescent="0.25">
      <c r="A193" t="s">
        <v>86</v>
      </c>
      <c r="B193">
        <v>1</v>
      </c>
      <c r="C193">
        <v>400</v>
      </c>
    </row>
    <row r="194" spans="1:4" x14ac:dyDescent="0.25">
      <c r="A194" t="s">
        <v>86</v>
      </c>
      <c r="B194">
        <v>2</v>
      </c>
      <c r="C194">
        <v>5800</v>
      </c>
    </row>
    <row r="195" spans="1:4" x14ac:dyDescent="0.25">
      <c r="A195" t="s">
        <v>87</v>
      </c>
      <c r="B195">
        <v>2</v>
      </c>
      <c r="C195">
        <v>6700</v>
      </c>
    </row>
    <row r="196" spans="1:4" x14ac:dyDescent="0.25">
      <c r="A196" t="s">
        <v>87</v>
      </c>
      <c r="B196">
        <v>3</v>
      </c>
      <c r="C196">
        <v>3440</v>
      </c>
    </row>
    <row r="198" spans="1:4" x14ac:dyDescent="0.25">
      <c r="A198" t="s">
        <v>91</v>
      </c>
    </row>
    <row r="200" spans="1:4" x14ac:dyDescent="0.25">
      <c r="A200" t="s">
        <v>92</v>
      </c>
    </row>
    <row r="201" spans="1:4" x14ac:dyDescent="0.25">
      <c r="A201" t="s">
        <v>93</v>
      </c>
      <c r="B201" t="s">
        <v>94</v>
      </c>
      <c r="C201" t="s">
        <v>95</v>
      </c>
      <c r="D201" t="s">
        <v>96</v>
      </c>
    </row>
    <row r="202" spans="1:4" x14ac:dyDescent="0.25">
      <c r="A202">
        <v>1</v>
      </c>
      <c r="B202">
        <v>2</v>
      </c>
      <c r="C202">
        <v>1092</v>
      </c>
      <c r="D202" t="s">
        <v>97</v>
      </c>
    </row>
    <row r="203" spans="1:4" x14ac:dyDescent="0.25">
      <c r="A203">
        <v>2</v>
      </c>
      <c r="B203">
        <v>2</v>
      </c>
      <c r="C203">
        <v>9022</v>
      </c>
      <c r="D203" t="s">
        <v>98</v>
      </c>
    </row>
    <row r="204" spans="1:4" x14ac:dyDescent="0.25">
      <c r="A204">
        <v>1</v>
      </c>
      <c r="B204">
        <v>2</v>
      </c>
      <c r="C204">
        <v>20007</v>
      </c>
      <c r="D204" t="s">
        <v>99</v>
      </c>
    </row>
    <row r="205" spans="1:4" x14ac:dyDescent="0.25">
      <c r="A205">
        <v>1</v>
      </c>
      <c r="B205">
        <v>2</v>
      </c>
      <c r="C205">
        <v>38075</v>
      </c>
      <c r="D205" t="s">
        <v>100</v>
      </c>
    </row>
    <row r="206" spans="1:4" x14ac:dyDescent="0.25">
      <c r="A206">
        <v>1</v>
      </c>
      <c r="B206">
        <v>2</v>
      </c>
      <c r="C206">
        <v>39004</v>
      </c>
      <c r="D206" t="s">
        <v>101</v>
      </c>
    </row>
    <row r="207" spans="1:4" x14ac:dyDescent="0.25">
      <c r="A207">
        <v>1</v>
      </c>
      <c r="B207">
        <v>2</v>
      </c>
      <c r="C207">
        <v>52007</v>
      </c>
      <c r="D207" t="s">
        <v>102</v>
      </c>
    </row>
    <row r="208" spans="1:4" x14ac:dyDescent="0.25">
      <c r="A208">
        <v>1</v>
      </c>
      <c r="B208">
        <v>2</v>
      </c>
      <c r="C208">
        <v>75104</v>
      </c>
      <c r="D208" t="s">
        <v>103</v>
      </c>
    </row>
    <row r="209" spans="1:4" x14ac:dyDescent="0.25">
      <c r="A209">
        <v>3</v>
      </c>
      <c r="B209">
        <v>2</v>
      </c>
      <c r="C209">
        <v>85203</v>
      </c>
      <c r="D209" t="s">
        <v>104</v>
      </c>
    </row>
    <row r="210" spans="1:4" x14ac:dyDescent="0.25">
      <c r="A210">
        <v>1</v>
      </c>
      <c r="B210">
        <v>2</v>
      </c>
      <c r="C210">
        <v>85204</v>
      </c>
      <c r="D210" t="s">
        <v>105</v>
      </c>
    </row>
    <row r="211" spans="1:4" x14ac:dyDescent="0.25">
      <c r="A211">
        <v>1</v>
      </c>
      <c r="B211">
        <v>2</v>
      </c>
      <c r="C211">
        <v>86006</v>
      </c>
      <c r="D211" t="s">
        <v>106</v>
      </c>
    </row>
    <row r="212" spans="1:4" x14ac:dyDescent="0.25">
      <c r="A212">
        <v>1</v>
      </c>
      <c r="B212">
        <v>2</v>
      </c>
      <c r="C212">
        <v>86016</v>
      </c>
      <c r="D212" t="s">
        <v>107</v>
      </c>
    </row>
    <row r="213" spans="1:4" x14ac:dyDescent="0.25">
      <c r="A213">
        <v>1</v>
      </c>
      <c r="B213">
        <v>2</v>
      </c>
      <c r="C213">
        <v>86026</v>
      </c>
      <c r="D213" t="s">
        <v>107</v>
      </c>
    </row>
    <row r="214" spans="1:4" x14ac:dyDescent="0.25">
      <c r="A214">
        <v>1</v>
      </c>
      <c r="B214">
        <v>2</v>
      </c>
      <c r="C214">
        <v>86030</v>
      </c>
      <c r="D214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A821-7633-4A9E-8A88-913C8B96DDB1}">
  <dimension ref="A1:DU3"/>
  <sheetViews>
    <sheetView workbookViewId="0">
      <selection activeCell="D2" sqref="D2"/>
    </sheetView>
  </sheetViews>
  <sheetFormatPr defaultRowHeight="15" x14ac:dyDescent="0.25"/>
  <cols>
    <col min="3" max="3" width="18.85546875" customWidth="1"/>
    <col min="4" max="4" width="12.28515625" bestFit="1" customWidth="1"/>
    <col min="5" max="5" width="13.42578125" customWidth="1"/>
    <col min="14" max="14" width="15.85546875" customWidth="1"/>
  </cols>
  <sheetData>
    <row r="1" spans="1:125" x14ac:dyDescent="0.25">
      <c r="D1" s="3" t="s">
        <v>18</v>
      </c>
      <c r="E1" s="3"/>
      <c r="F1" s="3"/>
      <c r="K1" s="3" t="s">
        <v>41</v>
      </c>
      <c r="P1" s="4" t="s">
        <v>42</v>
      </c>
      <c r="U1" s="5" t="s">
        <v>43</v>
      </c>
      <c r="Z1" s="6" t="s">
        <v>44</v>
      </c>
      <c r="AE1" s="7" t="s">
        <v>45</v>
      </c>
      <c r="AJ1" s="8" t="s">
        <v>46</v>
      </c>
      <c r="AY1" s="9" t="s">
        <v>53</v>
      </c>
      <c r="BH1" s="10" t="s">
        <v>54</v>
      </c>
      <c r="BK1" s="11" t="s">
        <v>55</v>
      </c>
      <c r="CC1" s="12" t="s">
        <v>63</v>
      </c>
      <c r="CU1" s="14" t="s">
        <v>74</v>
      </c>
      <c r="DE1" s="15" t="s">
        <v>76</v>
      </c>
      <c r="DL1" s="16" t="s">
        <v>80</v>
      </c>
    </row>
    <row r="2" spans="1:125" x14ac:dyDescent="0.25">
      <c r="A2" t="s">
        <v>109</v>
      </c>
      <c r="B2" t="s">
        <v>110</v>
      </c>
      <c r="C2" t="s">
        <v>118</v>
      </c>
      <c r="D2" t="s">
        <v>117</v>
      </c>
      <c r="E2" t="s">
        <v>116</v>
      </c>
      <c r="F2" t="s">
        <v>115</v>
      </c>
      <c r="G2" t="s">
        <v>24</v>
      </c>
      <c r="H2" t="s">
        <v>112</v>
      </c>
      <c r="I2" t="s">
        <v>113</v>
      </c>
      <c r="J2" t="s">
        <v>114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40</v>
      </c>
      <c r="P2" s="4" t="s">
        <v>29</v>
      </c>
      <c r="Q2" s="4" t="s">
        <v>30</v>
      </c>
      <c r="R2" s="4" t="s">
        <v>31</v>
      </c>
      <c r="S2" s="4" t="s">
        <v>32</v>
      </c>
      <c r="T2" s="4" t="s">
        <v>40</v>
      </c>
      <c r="U2" s="5" t="s">
        <v>29</v>
      </c>
      <c r="V2" s="5" t="s">
        <v>30</v>
      </c>
      <c r="W2" s="5" t="s">
        <v>31</v>
      </c>
      <c r="X2" s="5" t="s">
        <v>32</v>
      </c>
      <c r="Y2" s="5" t="s">
        <v>40</v>
      </c>
      <c r="Z2" s="6" t="s">
        <v>29</v>
      </c>
      <c r="AA2" s="6" t="s">
        <v>30</v>
      </c>
      <c r="AB2" s="6" t="s">
        <v>31</v>
      </c>
      <c r="AC2" s="6" t="s">
        <v>32</v>
      </c>
      <c r="AD2" s="6" t="s">
        <v>40</v>
      </c>
      <c r="AE2" s="7" t="s">
        <v>29</v>
      </c>
      <c r="AF2" s="7" t="s">
        <v>30</v>
      </c>
      <c r="AG2" s="7" t="s">
        <v>31</v>
      </c>
      <c r="AH2" s="7" t="s">
        <v>32</v>
      </c>
      <c r="AI2" s="7" t="s">
        <v>40</v>
      </c>
      <c r="AJ2" s="8" t="s">
        <v>29</v>
      </c>
      <c r="AK2" s="8" t="s">
        <v>30</v>
      </c>
      <c r="AL2" s="8" t="s">
        <v>31</v>
      </c>
      <c r="AM2" s="8" t="s">
        <v>32</v>
      </c>
      <c r="AN2" s="8" t="s">
        <v>47</v>
      </c>
      <c r="AO2" s="8" t="s">
        <v>48</v>
      </c>
      <c r="AP2" s="8" t="s">
        <v>49</v>
      </c>
      <c r="AQ2" s="8" t="s">
        <v>35</v>
      </c>
      <c r="AR2" s="8" t="s">
        <v>36</v>
      </c>
      <c r="AS2" s="8" t="s">
        <v>50</v>
      </c>
      <c r="AT2" s="8" t="s">
        <v>51</v>
      </c>
      <c r="AU2" s="8" t="s">
        <v>52</v>
      </c>
      <c r="AV2" s="8" t="s">
        <v>37</v>
      </c>
      <c r="AW2" s="8" t="s">
        <v>38</v>
      </c>
      <c r="AX2" s="8" t="s">
        <v>40</v>
      </c>
      <c r="AY2" s="9" t="s">
        <v>29</v>
      </c>
      <c r="AZ2" s="9" t="s">
        <v>30</v>
      </c>
      <c r="BA2" s="9" t="s">
        <v>31</v>
      </c>
      <c r="BB2" s="9" t="s">
        <v>32</v>
      </c>
      <c r="BC2" s="9" t="s">
        <v>34</v>
      </c>
      <c r="BD2" s="9" t="s">
        <v>35</v>
      </c>
      <c r="BE2" s="9" t="s">
        <v>36</v>
      </c>
      <c r="BF2" s="9" t="s">
        <v>37</v>
      </c>
      <c r="BG2" s="9" t="s">
        <v>40</v>
      </c>
      <c r="BH2" s="10" t="s">
        <v>29</v>
      </c>
      <c r="BI2" s="10" t="s">
        <v>31</v>
      </c>
      <c r="BJ2" s="10" t="s">
        <v>40</v>
      </c>
      <c r="BK2" s="11" t="s">
        <v>29</v>
      </c>
      <c r="BL2" s="11" t="s">
        <v>30</v>
      </c>
      <c r="BM2" s="11" t="s">
        <v>31</v>
      </c>
      <c r="BN2" s="11" t="s">
        <v>32</v>
      </c>
      <c r="BO2" s="11" t="s">
        <v>48</v>
      </c>
      <c r="BP2" s="11" t="s">
        <v>49</v>
      </c>
      <c r="BQ2" s="11" t="s">
        <v>35</v>
      </c>
      <c r="BR2" s="11" t="s">
        <v>36</v>
      </c>
      <c r="BS2" s="11" t="s">
        <v>56</v>
      </c>
      <c r="BT2" s="11" t="s">
        <v>57</v>
      </c>
      <c r="BU2" s="11" t="s">
        <v>50</v>
      </c>
      <c r="BV2" s="11" t="s">
        <v>51</v>
      </c>
      <c r="BW2" s="11" t="s">
        <v>58</v>
      </c>
      <c r="BX2" s="11" t="s">
        <v>59</v>
      </c>
      <c r="BY2" s="11" t="s">
        <v>60</v>
      </c>
      <c r="BZ2" s="11" t="s">
        <v>61</v>
      </c>
      <c r="CA2" s="11" t="s">
        <v>62</v>
      </c>
      <c r="CB2" s="11" t="s">
        <v>40</v>
      </c>
      <c r="CC2" s="13" t="s">
        <v>30</v>
      </c>
      <c r="CD2" s="13" t="s">
        <v>31</v>
      </c>
      <c r="CE2" s="13" t="s">
        <v>32</v>
      </c>
      <c r="CF2" s="13" t="s">
        <v>34</v>
      </c>
      <c r="CG2" s="13" t="s">
        <v>36</v>
      </c>
      <c r="CH2" s="13" t="s">
        <v>35</v>
      </c>
      <c r="CI2" s="13" t="s">
        <v>58</v>
      </c>
      <c r="CJ2" s="13" t="s">
        <v>64</v>
      </c>
      <c r="CK2" s="13" t="s">
        <v>65</v>
      </c>
      <c r="CL2" s="13" t="s">
        <v>66</v>
      </c>
      <c r="CM2" s="13" t="s">
        <v>67</v>
      </c>
      <c r="CN2" s="13" t="s">
        <v>68</v>
      </c>
      <c r="CO2" s="13" t="s">
        <v>69</v>
      </c>
      <c r="CP2" s="13" t="s">
        <v>70</v>
      </c>
      <c r="CQ2" s="13" t="s">
        <v>71</v>
      </c>
      <c r="CR2" s="13" t="s">
        <v>72</v>
      </c>
      <c r="CS2" s="13" t="s">
        <v>73</v>
      </c>
      <c r="CT2" s="13" t="s">
        <v>40</v>
      </c>
      <c r="CU2" s="14" t="s">
        <v>29</v>
      </c>
      <c r="CV2" s="14" t="s">
        <v>30</v>
      </c>
      <c r="CW2" s="14" t="s">
        <v>31</v>
      </c>
      <c r="CX2" s="14" t="s">
        <v>34</v>
      </c>
      <c r="CY2" s="14" t="s">
        <v>35</v>
      </c>
      <c r="CZ2" s="14" t="s">
        <v>36</v>
      </c>
      <c r="DA2" s="14" t="s">
        <v>58</v>
      </c>
      <c r="DB2" s="14" t="s">
        <v>75</v>
      </c>
      <c r="DC2" s="14" t="s">
        <v>62</v>
      </c>
      <c r="DD2" s="14" t="s">
        <v>40</v>
      </c>
      <c r="DE2" s="15" t="s">
        <v>29</v>
      </c>
      <c r="DF2" s="15" t="s">
        <v>30</v>
      </c>
      <c r="DG2" s="15" t="s">
        <v>31</v>
      </c>
      <c r="DH2" s="15" t="s">
        <v>77</v>
      </c>
      <c r="DI2" s="15" t="s">
        <v>78</v>
      </c>
      <c r="DJ2" s="15" t="s">
        <v>79</v>
      </c>
      <c r="DK2" s="15" t="s">
        <v>40</v>
      </c>
      <c r="DL2" s="16" t="s">
        <v>29</v>
      </c>
      <c r="DM2" s="16" t="s">
        <v>30</v>
      </c>
      <c r="DN2" s="16" t="s">
        <v>31</v>
      </c>
      <c r="DO2" s="16" t="s">
        <v>32</v>
      </c>
      <c r="DP2" s="16" t="s">
        <v>34</v>
      </c>
      <c r="DQ2" s="16" t="s">
        <v>35</v>
      </c>
      <c r="DR2" s="16" t="s">
        <v>36</v>
      </c>
      <c r="DS2" s="16" t="s">
        <v>58</v>
      </c>
      <c r="DT2" s="16" t="s">
        <v>81</v>
      </c>
      <c r="DU2" s="16" t="s">
        <v>40</v>
      </c>
    </row>
    <row r="3" spans="1:125" x14ac:dyDescent="0.25">
      <c r="A3">
        <v>5264788.0999999996</v>
      </c>
      <c r="B3" t="s">
        <v>111</v>
      </c>
      <c r="C3" t="s">
        <v>119</v>
      </c>
      <c r="D3">
        <f>'csv report'!B41</f>
        <v>16809</v>
      </c>
      <c r="E3">
        <f>SUM(L3:N3)+SUM(Q3:S3)+SUM(V3:X3)+SUM(AA3:AC3)+SUM(AF3:AH3)+SUM(AK3:AW3)+SUM(AZ3:BF3)+SUM(BI3)+SUM(BL3:CA3)+SUM(CD3:CS3)+SUM(CV3:DC3)+SUM(DF3:DJ3)+SUM(DM3:DT3)</f>
        <v>596</v>
      </c>
      <c r="F3" s="17">
        <f>(D3-E3)/D3</f>
        <v>0.96454280444999707</v>
      </c>
      <c r="G3">
        <v>16340</v>
      </c>
      <c r="H3">
        <v>400</v>
      </c>
      <c r="I3">
        <v>12500</v>
      </c>
      <c r="J3">
        <v>3440</v>
      </c>
      <c r="K3" s="3">
        <v>16809</v>
      </c>
      <c r="L3" s="3">
        <v>54</v>
      </c>
      <c r="M3" s="3">
        <v>0</v>
      </c>
      <c r="N3" s="3">
        <v>0</v>
      </c>
      <c r="O3" s="3">
        <v>16863</v>
      </c>
      <c r="P3" s="4">
        <v>16806</v>
      </c>
      <c r="Q3" s="4">
        <v>0</v>
      </c>
      <c r="R3" s="4">
        <v>0</v>
      </c>
      <c r="S3" s="4">
        <v>0</v>
      </c>
      <c r="T3" s="4">
        <v>16806</v>
      </c>
      <c r="U3" s="5">
        <v>16806</v>
      </c>
      <c r="V3" s="5">
        <v>0</v>
      </c>
      <c r="W3" s="5">
        <v>0</v>
      </c>
      <c r="X3" s="5">
        <v>0</v>
      </c>
      <c r="Y3" s="5">
        <v>16806</v>
      </c>
      <c r="Z3" s="6">
        <v>553</v>
      </c>
      <c r="AA3" s="6">
        <v>0</v>
      </c>
      <c r="AB3" s="6">
        <v>0</v>
      </c>
      <c r="AC3" s="6">
        <v>0</v>
      </c>
      <c r="AD3" s="6">
        <v>553</v>
      </c>
      <c r="AE3" s="7">
        <v>16806</v>
      </c>
      <c r="AF3" s="7">
        <v>2</v>
      </c>
      <c r="AG3" s="7">
        <v>1</v>
      </c>
      <c r="AH3" s="7">
        <v>0</v>
      </c>
      <c r="AI3" s="7">
        <v>16809</v>
      </c>
      <c r="AJ3" s="8">
        <v>16350</v>
      </c>
      <c r="AK3" s="8">
        <v>0</v>
      </c>
      <c r="AL3" s="8">
        <v>0</v>
      </c>
      <c r="AM3" s="8">
        <v>0</v>
      </c>
      <c r="AN3" s="8">
        <v>0</v>
      </c>
      <c r="AO3" s="8">
        <v>32</v>
      </c>
      <c r="AP3" s="8">
        <v>0</v>
      </c>
      <c r="AQ3" s="8">
        <v>88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4</v>
      </c>
      <c r="AX3" s="8">
        <v>16474</v>
      </c>
      <c r="AY3" s="9">
        <v>0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10">
        <v>16340</v>
      </c>
      <c r="BI3" s="10">
        <v>0</v>
      </c>
      <c r="BJ3" s="10">
        <v>16340</v>
      </c>
      <c r="BK3" s="11">
        <v>16340</v>
      </c>
      <c r="BL3" s="11">
        <v>0</v>
      </c>
      <c r="BM3" s="11">
        <v>0</v>
      </c>
      <c r="BN3" s="11">
        <v>0</v>
      </c>
      <c r="BO3" s="11">
        <v>0</v>
      </c>
      <c r="BP3" s="11">
        <v>0</v>
      </c>
      <c r="BQ3" s="11">
        <v>0</v>
      </c>
      <c r="BR3" s="11">
        <v>0</v>
      </c>
      <c r="BS3" s="11">
        <v>0</v>
      </c>
      <c r="BT3" s="11">
        <v>0</v>
      </c>
      <c r="BU3" s="11">
        <v>0</v>
      </c>
      <c r="BV3" s="11">
        <v>0</v>
      </c>
      <c r="BW3" s="11">
        <v>0</v>
      </c>
      <c r="BX3" s="11">
        <v>0</v>
      </c>
      <c r="BY3" s="11">
        <v>0</v>
      </c>
      <c r="BZ3" s="11">
        <v>0</v>
      </c>
      <c r="CA3" s="11">
        <v>0</v>
      </c>
      <c r="CB3" s="11">
        <v>16340</v>
      </c>
      <c r="CC3" s="13">
        <v>0</v>
      </c>
      <c r="CD3" s="13">
        <v>0</v>
      </c>
      <c r="CE3" s="13">
        <v>0</v>
      </c>
      <c r="CF3" s="13">
        <v>0</v>
      </c>
      <c r="CG3" s="13">
        <v>0</v>
      </c>
      <c r="CH3" s="13">
        <v>0</v>
      </c>
      <c r="CI3" s="13">
        <v>0</v>
      </c>
      <c r="CJ3" s="13">
        <v>0</v>
      </c>
      <c r="CK3" s="13">
        <v>0</v>
      </c>
      <c r="CL3" s="13">
        <v>0</v>
      </c>
      <c r="CM3" s="13">
        <v>0</v>
      </c>
      <c r="CN3" s="13">
        <v>0</v>
      </c>
      <c r="CO3" s="13">
        <v>0</v>
      </c>
      <c r="CP3" s="13">
        <v>0</v>
      </c>
      <c r="CQ3" s="13">
        <v>0</v>
      </c>
      <c r="CR3" s="13">
        <v>0</v>
      </c>
      <c r="CS3" s="13">
        <v>0</v>
      </c>
      <c r="CT3" s="13">
        <v>0</v>
      </c>
      <c r="CU3" s="14">
        <v>16391</v>
      </c>
      <c r="CV3" s="14">
        <v>0</v>
      </c>
      <c r="CW3" s="14">
        <v>0</v>
      </c>
      <c r="CX3" s="14">
        <v>0</v>
      </c>
      <c r="CY3" s="14">
        <v>0</v>
      </c>
      <c r="CZ3" s="14">
        <v>0</v>
      </c>
      <c r="DA3" s="14">
        <v>0</v>
      </c>
      <c r="DB3" s="14">
        <v>0</v>
      </c>
      <c r="DC3" s="14">
        <v>4</v>
      </c>
      <c r="DD3" s="14">
        <v>16395</v>
      </c>
      <c r="DE3" s="15">
        <v>1672</v>
      </c>
      <c r="DF3" s="15">
        <v>0</v>
      </c>
      <c r="DG3" s="15">
        <v>0</v>
      </c>
      <c r="DH3" s="15">
        <v>0</v>
      </c>
      <c r="DI3" s="15">
        <v>0</v>
      </c>
      <c r="DJ3" s="15">
        <v>0</v>
      </c>
      <c r="DK3" s="15">
        <v>1672</v>
      </c>
      <c r="DL3" s="16">
        <v>16395</v>
      </c>
      <c r="DM3" s="16">
        <v>0</v>
      </c>
      <c r="DN3" s="16">
        <v>0</v>
      </c>
      <c r="DO3" s="16">
        <v>0</v>
      </c>
      <c r="DP3" s="16">
        <v>0</v>
      </c>
      <c r="DQ3" s="16">
        <v>0</v>
      </c>
      <c r="DR3" s="16">
        <v>411</v>
      </c>
      <c r="DS3" s="16">
        <v>0</v>
      </c>
      <c r="DT3" s="16">
        <v>0</v>
      </c>
      <c r="DU3" s="16">
        <v>16806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5F28-7344-4B4B-B20F-7D6F0DA30D57}">
  <dimension ref="A1:B90"/>
  <sheetViews>
    <sheetView topLeftCell="A72" workbookViewId="0">
      <selection activeCell="B87" sqref="B87"/>
    </sheetView>
  </sheetViews>
  <sheetFormatPr defaultRowHeight="15" x14ac:dyDescent="0.25"/>
  <cols>
    <col min="2" max="2" width="13.28515625" customWidth="1"/>
  </cols>
  <sheetData>
    <row r="1" spans="1:2" x14ac:dyDescent="0.25">
      <c r="A1" s="8" t="s">
        <v>29</v>
      </c>
      <c r="B1" t="str">
        <f>"'" &amp; A1 &amp;"'" &amp; ","</f>
        <v>'Passed',</v>
      </c>
    </row>
    <row r="2" spans="1:2" x14ac:dyDescent="0.25">
      <c r="A2" s="8" t="s">
        <v>30</v>
      </c>
      <c r="B2" t="str">
        <f t="shared" ref="B2:B65" si="0">"'" &amp; A2 &amp;"'" &amp; ","</f>
        <v>'Empty Failed',</v>
      </c>
    </row>
    <row r="3" spans="1:2" x14ac:dyDescent="0.25">
      <c r="A3" s="8" t="s">
        <v>31</v>
      </c>
      <c r="B3" t="str">
        <f t="shared" si="0"/>
        <v>'Others Failed',</v>
      </c>
    </row>
    <row r="4" spans="1:2" x14ac:dyDescent="0.25">
      <c r="A4" s="8" t="s">
        <v>32</v>
      </c>
      <c r="B4" t="str">
        <f t="shared" si="0"/>
        <v>'Angle Failed',</v>
      </c>
    </row>
    <row r="5" spans="1:2" x14ac:dyDescent="0.25">
      <c r="A5" s="8" t="s">
        <v>47</v>
      </c>
      <c r="B5" t="str">
        <f t="shared" si="0"/>
        <v>'Die Sawn Failed',</v>
      </c>
    </row>
    <row r="6" spans="1:2" x14ac:dyDescent="0.25">
      <c r="A6" s="8" t="s">
        <v>48</v>
      </c>
      <c r="B6" t="str">
        <f t="shared" si="0"/>
        <v>'Chip In Failed',</v>
      </c>
    </row>
    <row r="7" spans="1:2" x14ac:dyDescent="0.25">
      <c r="A7" s="8" t="s">
        <v>49</v>
      </c>
      <c r="B7" t="str">
        <f t="shared" si="0"/>
        <v>'Chip Out Failed',</v>
      </c>
    </row>
    <row r="8" spans="1:2" x14ac:dyDescent="0.25">
      <c r="A8" s="8" t="s">
        <v>35</v>
      </c>
      <c r="B8" t="str">
        <f t="shared" si="0"/>
        <v>'Contamination Failed',</v>
      </c>
    </row>
    <row r="9" spans="1:2" x14ac:dyDescent="0.25">
      <c r="A9" s="8" t="s">
        <v>36</v>
      </c>
      <c r="B9" t="str">
        <f t="shared" si="0"/>
        <v>'Crack Failed',</v>
      </c>
    </row>
    <row r="10" spans="1:2" x14ac:dyDescent="0.25">
      <c r="A10" s="8" t="s">
        <v>50</v>
      </c>
      <c r="B10" t="str">
        <f t="shared" si="0"/>
        <v>'Die Size Failed',</v>
      </c>
    </row>
    <row r="11" spans="1:2" x14ac:dyDescent="0.25">
      <c r="A11" s="8" t="s">
        <v>51</v>
      </c>
      <c r="B11" t="str">
        <f t="shared" si="0"/>
        <v>'SubROI Failed',</v>
      </c>
    </row>
    <row r="12" spans="1:2" x14ac:dyDescent="0.25">
      <c r="A12" s="8" t="s">
        <v>52</v>
      </c>
      <c r="B12" t="str">
        <f t="shared" si="0"/>
        <v>'Spec Failed',</v>
      </c>
    </row>
    <row r="13" spans="1:2" x14ac:dyDescent="0.25">
      <c r="A13" s="8" t="s">
        <v>37</v>
      </c>
      <c r="B13" t="str">
        <f t="shared" si="0"/>
        <v>'Bump Failed',</v>
      </c>
    </row>
    <row r="14" spans="1:2" x14ac:dyDescent="0.25">
      <c r="A14" s="8" t="s">
        <v>38</v>
      </c>
      <c r="B14" t="str">
        <f t="shared" si="0"/>
        <v>'Pad Failed',</v>
      </c>
    </row>
    <row r="15" spans="1:2" x14ac:dyDescent="0.25">
      <c r="A15" s="8" t="s">
        <v>40</v>
      </c>
      <c r="B15" t="str">
        <f t="shared" si="0"/>
        <v>'TOTAL',</v>
      </c>
    </row>
    <row r="16" spans="1:2" x14ac:dyDescent="0.25">
      <c r="A16" s="9" t="s">
        <v>29</v>
      </c>
      <c r="B16" t="str">
        <f t="shared" si="0"/>
        <v>'Passed',</v>
      </c>
    </row>
    <row r="17" spans="1:2" x14ac:dyDescent="0.25">
      <c r="A17" s="9" t="s">
        <v>30</v>
      </c>
      <c r="B17" t="str">
        <f t="shared" si="0"/>
        <v>'Empty Failed',</v>
      </c>
    </row>
    <row r="18" spans="1:2" x14ac:dyDescent="0.25">
      <c r="A18" s="9" t="s">
        <v>31</v>
      </c>
      <c r="B18" t="str">
        <f t="shared" si="0"/>
        <v>'Others Failed',</v>
      </c>
    </row>
    <row r="19" spans="1:2" x14ac:dyDescent="0.25">
      <c r="A19" s="9" t="s">
        <v>32</v>
      </c>
      <c r="B19" t="str">
        <f t="shared" si="0"/>
        <v>'Angle Failed',</v>
      </c>
    </row>
    <row r="20" spans="1:2" x14ac:dyDescent="0.25">
      <c r="A20" s="9" t="s">
        <v>34</v>
      </c>
      <c r="B20" t="str">
        <f t="shared" si="0"/>
        <v>'Chip Failed',</v>
      </c>
    </row>
    <row r="21" spans="1:2" x14ac:dyDescent="0.25">
      <c r="A21" s="9" t="s">
        <v>35</v>
      </c>
      <c r="B21" t="str">
        <f t="shared" si="0"/>
        <v>'Contamination Failed',</v>
      </c>
    </row>
    <row r="22" spans="1:2" x14ac:dyDescent="0.25">
      <c r="A22" s="9" t="s">
        <v>36</v>
      </c>
      <c r="B22" t="str">
        <f t="shared" si="0"/>
        <v>'Crack Failed',</v>
      </c>
    </row>
    <row r="23" spans="1:2" x14ac:dyDescent="0.25">
      <c r="A23" s="9" t="s">
        <v>37</v>
      </c>
      <c r="B23" t="str">
        <f t="shared" si="0"/>
        <v>'Bump Failed',</v>
      </c>
    </row>
    <row r="24" spans="1:2" x14ac:dyDescent="0.25">
      <c r="A24" s="9" t="s">
        <v>40</v>
      </c>
      <c r="B24" t="str">
        <f t="shared" si="0"/>
        <v>'TOTAL',</v>
      </c>
    </row>
    <row r="25" spans="1:2" x14ac:dyDescent="0.25">
      <c r="A25" s="10" t="s">
        <v>29</v>
      </c>
      <c r="B25" t="str">
        <f t="shared" si="0"/>
        <v>'Passed',</v>
      </c>
    </row>
    <row r="26" spans="1:2" x14ac:dyDescent="0.25">
      <c r="A26" s="10" t="s">
        <v>31</v>
      </c>
      <c r="B26" t="str">
        <f t="shared" si="0"/>
        <v>'Others Failed',</v>
      </c>
    </row>
    <row r="27" spans="1:2" x14ac:dyDescent="0.25">
      <c r="A27" s="10" t="s">
        <v>40</v>
      </c>
      <c r="B27" t="str">
        <f t="shared" si="0"/>
        <v>'TOTAL',</v>
      </c>
    </row>
    <row r="28" spans="1:2" x14ac:dyDescent="0.25">
      <c r="A28" s="11" t="s">
        <v>29</v>
      </c>
      <c r="B28" t="str">
        <f t="shared" si="0"/>
        <v>'Passed',</v>
      </c>
    </row>
    <row r="29" spans="1:2" x14ac:dyDescent="0.25">
      <c r="A29" s="11" t="s">
        <v>30</v>
      </c>
      <c r="B29" t="str">
        <f t="shared" si="0"/>
        <v>'Empty Failed',</v>
      </c>
    </row>
    <row r="30" spans="1:2" x14ac:dyDescent="0.25">
      <c r="A30" s="11" t="s">
        <v>31</v>
      </c>
      <c r="B30" t="str">
        <f t="shared" si="0"/>
        <v>'Others Failed',</v>
      </c>
    </row>
    <row r="31" spans="1:2" x14ac:dyDescent="0.25">
      <c r="A31" s="11" t="s">
        <v>32</v>
      </c>
      <c r="B31" t="str">
        <f t="shared" si="0"/>
        <v>'Angle Failed',</v>
      </c>
    </row>
    <row r="32" spans="1:2" x14ac:dyDescent="0.25">
      <c r="A32" s="11" t="s">
        <v>48</v>
      </c>
      <c r="B32" t="str">
        <f t="shared" si="0"/>
        <v>'Chip In Failed',</v>
      </c>
    </row>
    <row r="33" spans="1:2" x14ac:dyDescent="0.25">
      <c r="A33" s="11" t="s">
        <v>49</v>
      </c>
      <c r="B33" t="str">
        <f t="shared" si="0"/>
        <v>'Chip Out Failed',</v>
      </c>
    </row>
    <row r="34" spans="1:2" x14ac:dyDescent="0.25">
      <c r="A34" s="11" t="s">
        <v>35</v>
      </c>
      <c r="B34" t="str">
        <f t="shared" si="0"/>
        <v>'Contamination Failed',</v>
      </c>
    </row>
    <row r="35" spans="1:2" x14ac:dyDescent="0.25">
      <c r="A35" s="11" t="s">
        <v>36</v>
      </c>
      <c r="B35" t="str">
        <f t="shared" si="0"/>
        <v>'Crack Failed',</v>
      </c>
    </row>
    <row r="36" spans="1:2" x14ac:dyDescent="0.25">
      <c r="A36" s="11" t="s">
        <v>56</v>
      </c>
      <c r="B36" t="str">
        <f t="shared" si="0"/>
        <v>'Adhesive Failed',</v>
      </c>
    </row>
    <row r="37" spans="1:2" x14ac:dyDescent="0.25">
      <c r="A37" s="11" t="s">
        <v>57</v>
      </c>
      <c r="B37" t="str">
        <f t="shared" si="0"/>
        <v>'Edge Failed',</v>
      </c>
    </row>
    <row r="38" spans="1:2" x14ac:dyDescent="0.25">
      <c r="A38" s="11" t="s">
        <v>50</v>
      </c>
      <c r="B38" t="str">
        <f t="shared" si="0"/>
        <v>'Die Size Failed',</v>
      </c>
    </row>
    <row r="39" spans="1:2" x14ac:dyDescent="0.25">
      <c r="A39" s="11" t="s">
        <v>51</v>
      </c>
      <c r="B39" t="str">
        <f t="shared" si="0"/>
        <v>'SubROI Failed',</v>
      </c>
    </row>
    <row r="40" spans="1:2" x14ac:dyDescent="0.25">
      <c r="A40" s="11" t="s">
        <v>58</v>
      </c>
      <c r="B40" t="str">
        <f t="shared" si="0"/>
        <v>'Marking Failed',</v>
      </c>
    </row>
    <row r="41" spans="1:2" x14ac:dyDescent="0.25">
      <c r="A41" s="11" t="s">
        <v>59</v>
      </c>
      <c r="B41" t="str">
        <f t="shared" si="0"/>
        <v>'Orientation Failed',</v>
      </c>
    </row>
    <row r="42" spans="1:2" x14ac:dyDescent="0.25">
      <c r="A42" s="11" t="s">
        <v>60</v>
      </c>
      <c r="B42" t="str">
        <f t="shared" si="0"/>
        <v>'No Mark Failed',</v>
      </c>
    </row>
    <row r="43" spans="1:2" x14ac:dyDescent="0.25">
      <c r="A43" s="11" t="s">
        <v>61</v>
      </c>
      <c r="B43" t="str">
        <f t="shared" si="0"/>
        <v>'2D Code Failed',</v>
      </c>
    </row>
    <row r="44" spans="1:2" x14ac:dyDescent="0.25">
      <c r="A44" s="11" t="s">
        <v>62</v>
      </c>
      <c r="B44" t="str">
        <f t="shared" si="0"/>
        <v>'Copper Exposed Failed',</v>
      </c>
    </row>
    <row r="45" spans="1:2" x14ac:dyDescent="0.25">
      <c r="A45" s="11" t="s">
        <v>40</v>
      </c>
      <c r="B45" t="str">
        <f t="shared" si="0"/>
        <v>'TOTAL',</v>
      </c>
    </row>
    <row r="46" spans="1:2" x14ac:dyDescent="0.25">
      <c r="A46" s="13" t="s">
        <v>30</v>
      </c>
      <c r="B46" t="str">
        <f t="shared" si="0"/>
        <v>'Empty Failed',</v>
      </c>
    </row>
    <row r="47" spans="1:2" x14ac:dyDescent="0.25">
      <c r="A47" s="13" t="s">
        <v>31</v>
      </c>
      <c r="B47" t="str">
        <f t="shared" si="0"/>
        <v>'Others Failed',</v>
      </c>
    </row>
    <row r="48" spans="1:2" x14ac:dyDescent="0.25">
      <c r="A48" s="13" t="s">
        <v>32</v>
      </c>
      <c r="B48" t="str">
        <f t="shared" si="0"/>
        <v>'Angle Failed',</v>
      </c>
    </row>
    <row r="49" spans="1:2" x14ac:dyDescent="0.25">
      <c r="A49" s="13" t="s">
        <v>34</v>
      </c>
      <c r="B49" t="str">
        <f t="shared" si="0"/>
        <v>'Chip Failed',</v>
      </c>
    </row>
    <row r="50" spans="1:2" x14ac:dyDescent="0.25">
      <c r="A50" s="13" t="s">
        <v>36</v>
      </c>
      <c r="B50" t="str">
        <f t="shared" si="0"/>
        <v>'Crack Failed',</v>
      </c>
    </row>
    <row r="51" spans="1:2" x14ac:dyDescent="0.25">
      <c r="A51" s="13" t="s">
        <v>35</v>
      </c>
      <c r="B51" t="str">
        <f t="shared" si="0"/>
        <v>'Contamination Failed',</v>
      </c>
    </row>
    <row r="52" spans="1:2" x14ac:dyDescent="0.25">
      <c r="A52" s="13" t="s">
        <v>58</v>
      </c>
      <c r="B52" t="str">
        <f t="shared" si="0"/>
        <v>'Marking Failed',</v>
      </c>
    </row>
    <row r="53" spans="1:2" x14ac:dyDescent="0.25">
      <c r="A53" s="13" t="s">
        <v>64</v>
      </c>
      <c r="B53" t="str">
        <f t="shared" si="0"/>
        <v>'Top Layer Seal Broken',</v>
      </c>
    </row>
    <row r="54" spans="1:2" x14ac:dyDescent="0.25">
      <c r="A54" s="13" t="s">
        <v>65</v>
      </c>
      <c r="B54" t="str">
        <f t="shared" si="0"/>
        <v>'Bottom Layer Seal Broken',</v>
      </c>
    </row>
    <row r="55" spans="1:2" x14ac:dyDescent="0.25">
      <c r="A55" s="13" t="s">
        <v>66</v>
      </c>
      <c r="B55" t="str">
        <f t="shared" si="0"/>
        <v>'Both Layer Seal Broken',</v>
      </c>
    </row>
    <row r="56" spans="1:2" x14ac:dyDescent="0.25">
      <c r="A56" s="13" t="s">
        <v>67</v>
      </c>
      <c r="B56" t="str">
        <f t="shared" si="0"/>
        <v>'Top Layer Seal Limit Exceeded',</v>
      </c>
    </row>
    <row r="57" spans="1:2" x14ac:dyDescent="0.25">
      <c r="A57" s="13" t="s">
        <v>68</v>
      </c>
      <c r="B57" t="str">
        <f t="shared" si="0"/>
        <v>'Bottom Layer Seal Limit Exceeded',</v>
      </c>
    </row>
    <row r="58" spans="1:2" x14ac:dyDescent="0.25">
      <c r="A58" s="13" t="s">
        <v>69</v>
      </c>
      <c r="B58" t="str">
        <f t="shared" si="0"/>
        <v>'Both Layer Seal Limit Exceeded',</v>
      </c>
    </row>
    <row r="59" spans="1:2" x14ac:dyDescent="0.25">
      <c r="A59" s="13" t="s">
        <v>70</v>
      </c>
      <c r="B59" t="str">
        <f t="shared" si="0"/>
        <v>'Top Layer Seal Width Inconsistency',</v>
      </c>
    </row>
    <row r="60" spans="1:2" x14ac:dyDescent="0.25">
      <c r="A60" s="13" t="s">
        <v>71</v>
      </c>
      <c r="B60" t="str">
        <f t="shared" si="0"/>
        <v>'Bottom Layer Seal Width Inconsistency',</v>
      </c>
    </row>
    <row r="61" spans="1:2" x14ac:dyDescent="0.25">
      <c r="A61" s="13" t="s">
        <v>72</v>
      </c>
      <c r="B61" t="str">
        <f t="shared" si="0"/>
        <v>'Both Layer Seal Width Inconsistency',</v>
      </c>
    </row>
    <row r="62" spans="1:2" x14ac:dyDescent="0.25">
      <c r="A62" s="13" t="s">
        <v>73</v>
      </c>
      <c r="B62" t="str">
        <f t="shared" si="0"/>
        <v>'Relative Seal Width Inconsistency',</v>
      </c>
    </row>
    <row r="63" spans="1:2" x14ac:dyDescent="0.25">
      <c r="A63" s="13" t="s">
        <v>40</v>
      </c>
      <c r="B63" t="str">
        <f t="shared" si="0"/>
        <v>'TOTAL',</v>
      </c>
    </row>
    <row r="64" spans="1:2" x14ac:dyDescent="0.25">
      <c r="A64" s="14" t="s">
        <v>29</v>
      </c>
      <c r="B64" t="str">
        <f t="shared" si="0"/>
        <v>'Passed',</v>
      </c>
    </row>
    <row r="65" spans="1:2" x14ac:dyDescent="0.25">
      <c r="A65" s="14" t="s">
        <v>30</v>
      </c>
      <c r="B65" t="str">
        <f t="shared" si="0"/>
        <v>'Empty Failed',</v>
      </c>
    </row>
    <row r="66" spans="1:2" x14ac:dyDescent="0.25">
      <c r="A66" s="14" t="s">
        <v>31</v>
      </c>
      <c r="B66" t="str">
        <f t="shared" ref="B66:B90" si="1">"'" &amp; A66 &amp;"'" &amp; ","</f>
        <v>'Others Failed',</v>
      </c>
    </row>
    <row r="67" spans="1:2" x14ac:dyDescent="0.25">
      <c r="A67" s="14" t="s">
        <v>34</v>
      </c>
      <c r="B67" t="str">
        <f t="shared" si="1"/>
        <v>'Chip Failed',</v>
      </c>
    </row>
    <row r="68" spans="1:2" x14ac:dyDescent="0.25">
      <c r="A68" s="14" t="s">
        <v>35</v>
      </c>
      <c r="B68" t="str">
        <f t="shared" si="1"/>
        <v>'Contamination Failed',</v>
      </c>
    </row>
    <row r="69" spans="1:2" x14ac:dyDescent="0.25">
      <c r="A69" s="14" t="s">
        <v>36</v>
      </c>
      <c r="B69" t="str">
        <f t="shared" si="1"/>
        <v>'Crack Failed',</v>
      </c>
    </row>
    <row r="70" spans="1:2" x14ac:dyDescent="0.25">
      <c r="A70" s="14" t="s">
        <v>58</v>
      </c>
      <c r="B70" t="str">
        <f t="shared" si="1"/>
        <v>'Marking Failed',</v>
      </c>
    </row>
    <row r="71" spans="1:2" x14ac:dyDescent="0.25">
      <c r="A71" s="14" t="s">
        <v>75</v>
      </c>
      <c r="B71" t="str">
        <f t="shared" si="1"/>
        <v>'Discolouration Failed',</v>
      </c>
    </row>
    <row r="72" spans="1:2" x14ac:dyDescent="0.25">
      <c r="A72" s="14" t="s">
        <v>62</v>
      </c>
      <c r="B72" t="str">
        <f t="shared" si="1"/>
        <v>'Copper Exposed Failed',</v>
      </c>
    </row>
    <row r="73" spans="1:2" x14ac:dyDescent="0.25">
      <c r="A73" s="14" t="s">
        <v>40</v>
      </c>
      <c r="B73" t="str">
        <f t="shared" si="1"/>
        <v>'TOTAL',</v>
      </c>
    </row>
    <row r="74" spans="1:2" x14ac:dyDescent="0.25">
      <c r="A74" s="15" t="s">
        <v>29</v>
      </c>
      <c r="B74" t="str">
        <f t="shared" si="1"/>
        <v>'Passed',</v>
      </c>
    </row>
    <row r="75" spans="1:2" x14ac:dyDescent="0.25">
      <c r="A75" s="15" t="s">
        <v>30</v>
      </c>
      <c r="B75" t="str">
        <f t="shared" si="1"/>
        <v>'Empty Failed',</v>
      </c>
    </row>
    <row r="76" spans="1:2" x14ac:dyDescent="0.25">
      <c r="A76" s="15" t="s">
        <v>31</v>
      </c>
      <c r="B76" t="str">
        <f t="shared" si="1"/>
        <v>'Others Failed',</v>
      </c>
    </row>
    <row r="77" spans="1:2" x14ac:dyDescent="0.25">
      <c r="A77" s="15" t="s">
        <v>77</v>
      </c>
      <c r="B77" t="str">
        <f t="shared" si="1"/>
        <v>'Bump Height Failed',</v>
      </c>
    </row>
    <row r="78" spans="1:2" x14ac:dyDescent="0.25">
      <c r="A78" s="15" t="s">
        <v>78</v>
      </c>
      <c r="B78" t="str">
        <f t="shared" si="1"/>
        <v>'Warpage Failed',</v>
      </c>
    </row>
    <row r="79" spans="1:2" x14ac:dyDescent="0.25">
      <c r="A79" s="15" t="s">
        <v>79</v>
      </c>
      <c r="B79" t="str">
        <f t="shared" si="1"/>
        <v>'Slanted Failed',</v>
      </c>
    </row>
    <row r="80" spans="1:2" x14ac:dyDescent="0.25">
      <c r="A80" s="15" t="s">
        <v>40</v>
      </c>
      <c r="B80" t="str">
        <f t="shared" si="1"/>
        <v>'TOTAL',</v>
      </c>
    </row>
    <row r="81" spans="1:2" x14ac:dyDescent="0.25">
      <c r="A81" s="16" t="s">
        <v>29</v>
      </c>
      <c r="B81" t="str">
        <f t="shared" si="1"/>
        <v>'Passed',</v>
      </c>
    </row>
    <row r="82" spans="1:2" x14ac:dyDescent="0.25">
      <c r="A82" s="16" t="s">
        <v>30</v>
      </c>
      <c r="B82" t="str">
        <f t="shared" si="1"/>
        <v>'Empty Failed',</v>
      </c>
    </row>
    <row r="83" spans="1:2" x14ac:dyDescent="0.25">
      <c r="A83" s="16" t="s">
        <v>31</v>
      </c>
      <c r="B83" t="str">
        <f t="shared" si="1"/>
        <v>'Others Failed',</v>
      </c>
    </row>
    <row r="84" spans="1:2" x14ac:dyDescent="0.25">
      <c r="A84" s="16" t="s">
        <v>32</v>
      </c>
      <c r="B84" t="str">
        <f t="shared" si="1"/>
        <v>'Angle Failed',</v>
      </c>
    </row>
    <row r="85" spans="1:2" x14ac:dyDescent="0.25">
      <c r="A85" s="16" t="s">
        <v>34</v>
      </c>
      <c r="B85" t="str">
        <f t="shared" si="1"/>
        <v>'Chip Failed',</v>
      </c>
    </row>
    <row r="86" spans="1:2" x14ac:dyDescent="0.25">
      <c r="A86" s="16" t="s">
        <v>35</v>
      </c>
      <c r="B86" t="str">
        <f t="shared" si="1"/>
        <v>'Contamination Failed',</v>
      </c>
    </row>
    <row r="87" spans="1:2" x14ac:dyDescent="0.25">
      <c r="A87" s="16" t="s">
        <v>36</v>
      </c>
      <c r="B87" t="str">
        <f t="shared" si="1"/>
        <v>'Crack Failed',</v>
      </c>
    </row>
    <row r="88" spans="1:2" x14ac:dyDescent="0.25">
      <c r="A88" s="16" t="s">
        <v>58</v>
      </c>
      <c r="B88" t="str">
        <f t="shared" si="1"/>
        <v>'Marking Failed',</v>
      </c>
    </row>
    <row r="89" spans="1:2" x14ac:dyDescent="0.25">
      <c r="A89" s="16" t="s">
        <v>81</v>
      </c>
      <c r="B89" t="str">
        <f t="shared" si="1"/>
        <v>'Delamination',</v>
      </c>
    </row>
    <row r="90" spans="1:2" x14ac:dyDescent="0.25">
      <c r="A90" s="16" t="s">
        <v>40</v>
      </c>
      <c r="B90" t="str">
        <f t="shared" si="1"/>
        <v>'TOTAL',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CF5D-760F-48C2-B4B8-BE6BFA3B65A5}">
  <dimension ref="A1:B9"/>
  <sheetViews>
    <sheetView workbookViewId="0">
      <selection activeCell="E13" sqref="E13"/>
    </sheetView>
  </sheetViews>
  <sheetFormatPr defaultRowHeight="15" x14ac:dyDescent="0.25"/>
  <sheetData>
    <row r="1" spans="1:2" x14ac:dyDescent="0.25">
      <c r="A1" t="s">
        <v>109</v>
      </c>
    </row>
    <row r="2" spans="1:2" x14ac:dyDescent="0.25">
      <c r="A2" t="s">
        <v>120</v>
      </c>
    </row>
    <row r="3" spans="1:2" x14ac:dyDescent="0.25">
      <c r="A3" t="s">
        <v>121</v>
      </c>
    </row>
    <row r="6" spans="1:2" x14ac:dyDescent="0.25">
      <c r="A6" t="s">
        <v>122</v>
      </c>
    </row>
    <row r="7" spans="1:2" x14ac:dyDescent="0.25">
      <c r="A7" t="s">
        <v>123</v>
      </c>
      <c r="B7">
        <f>Sheet2!L3+Sheet2!Q3+Sheet2!V3+Sheet2!AA3+Sheet2!AF3+Sheet2!AK3+Sheet2!AZ3+Sheet2!BL3+Sheet2!CD3+Sheet2!CE3+Sheet2!CV3+Sheet2!DF3+Sheet2!DM3</f>
        <v>56</v>
      </c>
    </row>
    <row r="8" spans="1:2" x14ac:dyDescent="0.25">
      <c r="A8" t="s">
        <v>124</v>
      </c>
      <c r="B8">
        <f>Sheet2!DR3</f>
        <v>411</v>
      </c>
    </row>
    <row r="9" spans="1:2" x14ac:dyDescent="0.25">
      <c r="A9" t="s">
        <v>125</v>
      </c>
      <c r="B9">
        <f>Sheet2!DC3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csv report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Millan</dc:creator>
  <cp:lastModifiedBy>Emilia Millan</cp:lastModifiedBy>
  <dcterms:created xsi:type="dcterms:W3CDTF">2025-10-04T20:23:08Z</dcterms:created>
  <dcterms:modified xsi:type="dcterms:W3CDTF">2025-10-05T21:20:55Z</dcterms:modified>
</cp:coreProperties>
</file>